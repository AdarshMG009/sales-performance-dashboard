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python\"/>
    </mc:Choice>
  </mc:AlternateContent>
  <xr:revisionPtr revIDLastSave="0" documentId="13_ncr:1_{62FFE8DE-8613-4983-B795-202C18A9D700}" xr6:coauthVersionLast="47" xr6:coauthVersionMax="47" xr10:uidLastSave="{00000000-0000-0000-0000-000000000000}"/>
  <bookViews>
    <workbookView xWindow="-96" yWindow="-96" windowWidth="23232" windowHeight="12432" activeTab="1" xr2:uid="{00000000-000D-0000-FFFF-FFFF00000000}"/>
  </bookViews>
  <sheets>
    <sheet name="Pivot_tables" sheetId="2" r:id="rId1"/>
    <sheet name="Dashboard" sheetId="3" r:id="rId2"/>
    <sheet name="SalesData" sheetId="1" r:id="rId3"/>
  </sheets>
  <definedNames>
    <definedName name="Slicer_Category">#N/A</definedName>
    <definedName name="Slicer_PaymentMode">#N/A</definedName>
    <definedName name="Slicer_Produc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1" i="3" l="1"/>
  <c r="Z2" i="3"/>
  <c r="L2" i="1"/>
  <c r="K2" i="1"/>
  <c r="K3" i="1"/>
  <c r="L3" i="1" s="1"/>
  <c r="K4" i="1"/>
  <c r="L4" i="1" s="1"/>
  <c r="K5" i="1"/>
  <c r="L5" i="1" s="1"/>
  <c r="K6" i="1"/>
  <c r="L6" i="1" s="1"/>
  <c r="K7" i="1"/>
  <c r="L7" i="1" s="1"/>
  <c r="K8" i="1"/>
  <c r="L8" i="1" s="1"/>
  <c r="K9" i="1"/>
  <c r="L9" i="1" s="1"/>
  <c r="K10" i="1"/>
  <c r="L10" i="1" s="1"/>
  <c r="K11" i="1"/>
  <c r="L11" i="1" s="1"/>
  <c r="K12" i="1"/>
  <c r="L12" i="1" s="1"/>
  <c r="K13" i="1"/>
  <c r="L13" i="1" s="1"/>
  <c r="K14" i="1"/>
  <c r="L14" i="1" s="1"/>
  <c r="K15" i="1"/>
  <c r="L15" i="1" s="1"/>
  <c r="K16" i="1"/>
  <c r="L16" i="1" s="1"/>
  <c r="K17" i="1"/>
  <c r="L17" i="1" s="1"/>
  <c r="K18" i="1"/>
  <c r="L18" i="1" s="1"/>
  <c r="K19" i="1"/>
  <c r="L19" i="1" s="1"/>
  <c r="K20" i="1"/>
  <c r="L20" i="1" s="1"/>
  <c r="K21" i="1"/>
  <c r="L21" i="1" s="1"/>
  <c r="K22" i="1"/>
  <c r="L22" i="1" s="1"/>
  <c r="K23" i="1"/>
  <c r="L23" i="1" s="1"/>
  <c r="K24" i="1"/>
  <c r="L24" i="1" s="1"/>
  <c r="K25" i="1"/>
  <c r="L25" i="1" s="1"/>
  <c r="K26" i="1"/>
  <c r="L26" i="1" s="1"/>
  <c r="K27" i="1"/>
  <c r="L27" i="1" s="1"/>
  <c r="K28" i="1"/>
  <c r="L28" i="1" s="1"/>
  <c r="K29" i="1"/>
  <c r="L29" i="1" s="1"/>
  <c r="K30" i="1"/>
  <c r="L30" i="1" s="1"/>
  <c r="K31" i="1"/>
  <c r="L31" i="1" s="1"/>
  <c r="K32" i="1"/>
  <c r="L32" i="1" s="1"/>
  <c r="K33" i="1"/>
  <c r="L33" i="1" s="1"/>
  <c r="K34" i="1"/>
  <c r="L34" i="1" s="1"/>
  <c r="K35" i="1"/>
  <c r="L35" i="1" s="1"/>
  <c r="K36" i="1"/>
  <c r="L36" i="1" s="1"/>
  <c r="K37" i="1"/>
  <c r="L37" i="1" s="1"/>
  <c r="K38" i="1"/>
  <c r="L38" i="1" s="1"/>
  <c r="K39" i="1"/>
  <c r="L39" i="1" s="1"/>
  <c r="K40" i="1"/>
  <c r="L40" i="1" s="1"/>
  <c r="K41" i="1"/>
  <c r="L41" i="1" s="1"/>
  <c r="K42" i="1"/>
  <c r="L42" i="1" s="1"/>
  <c r="K43" i="1"/>
  <c r="L43" i="1" s="1"/>
  <c r="K44" i="1"/>
  <c r="L44" i="1" s="1"/>
  <c r="K45" i="1"/>
  <c r="L45" i="1" s="1"/>
  <c r="K46" i="1"/>
  <c r="L46" i="1" s="1"/>
  <c r="K47" i="1"/>
  <c r="L47" i="1" s="1"/>
  <c r="K48" i="1"/>
  <c r="L48" i="1" s="1"/>
  <c r="K49" i="1"/>
  <c r="L49" i="1" s="1"/>
  <c r="K50" i="1"/>
  <c r="L50" i="1" s="1"/>
  <c r="K51" i="1"/>
  <c r="L51" i="1" s="1"/>
  <c r="K52" i="1"/>
  <c r="L52" i="1" s="1"/>
  <c r="K53" i="1"/>
  <c r="L53" i="1" s="1"/>
  <c r="K54" i="1"/>
  <c r="L54" i="1" s="1"/>
  <c r="K55" i="1"/>
  <c r="L55" i="1" s="1"/>
  <c r="K56" i="1"/>
  <c r="L56" i="1" s="1"/>
  <c r="K57" i="1"/>
  <c r="L57" i="1" s="1"/>
  <c r="K58" i="1"/>
  <c r="L58" i="1" s="1"/>
  <c r="K59" i="1"/>
  <c r="L59" i="1" s="1"/>
  <c r="K60" i="1"/>
  <c r="L60" i="1" s="1"/>
  <c r="K61" i="1"/>
  <c r="L61" i="1" s="1"/>
  <c r="K62" i="1"/>
  <c r="L62" i="1" s="1"/>
  <c r="K63" i="1"/>
  <c r="L63" i="1" s="1"/>
  <c r="K64" i="1"/>
  <c r="L64" i="1" s="1"/>
  <c r="K65" i="1"/>
  <c r="L65" i="1" s="1"/>
  <c r="K66" i="1"/>
  <c r="L66" i="1" s="1"/>
  <c r="K67" i="1"/>
  <c r="L67" i="1" s="1"/>
  <c r="K68" i="1"/>
  <c r="L68" i="1" s="1"/>
  <c r="K69" i="1"/>
  <c r="L69" i="1" s="1"/>
  <c r="K70" i="1"/>
  <c r="L70" i="1" s="1"/>
  <c r="K71" i="1"/>
  <c r="L71" i="1" s="1"/>
  <c r="K72" i="1"/>
  <c r="L72" i="1" s="1"/>
  <c r="K73" i="1"/>
  <c r="L73" i="1" s="1"/>
  <c r="K74" i="1"/>
  <c r="L74" i="1" s="1"/>
  <c r="K75" i="1"/>
  <c r="L75" i="1" s="1"/>
  <c r="K76" i="1"/>
  <c r="L76" i="1" s="1"/>
  <c r="K77" i="1"/>
  <c r="L77" i="1" s="1"/>
  <c r="K78" i="1"/>
  <c r="L78" i="1" s="1"/>
  <c r="K79" i="1"/>
  <c r="L79" i="1" s="1"/>
  <c r="K80" i="1"/>
  <c r="L80" i="1" s="1"/>
  <c r="K81" i="1"/>
  <c r="L81" i="1" s="1"/>
  <c r="K82" i="1"/>
  <c r="L82" i="1" s="1"/>
  <c r="K83" i="1"/>
  <c r="L83" i="1" s="1"/>
  <c r="K84" i="1"/>
  <c r="L84" i="1" s="1"/>
  <c r="K85" i="1"/>
  <c r="L85" i="1" s="1"/>
  <c r="K86" i="1"/>
  <c r="L86" i="1" s="1"/>
  <c r="K87" i="1"/>
  <c r="L87" i="1" s="1"/>
  <c r="K88" i="1"/>
  <c r="L88" i="1" s="1"/>
  <c r="K89" i="1"/>
  <c r="L89" i="1" s="1"/>
  <c r="K90" i="1"/>
  <c r="L90" i="1" s="1"/>
  <c r="K91" i="1"/>
  <c r="L91" i="1" s="1"/>
  <c r="K92" i="1"/>
  <c r="L92" i="1" s="1"/>
  <c r="K93" i="1"/>
  <c r="L93" i="1" s="1"/>
  <c r="K94" i="1"/>
  <c r="L94" i="1" s="1"/>
  <c r="K95" i="1"/>
  <c r="L95" i="1" s="1"/>
  <c r="K96" i="1"/>
  <c r="L96" i="1" s="1"/>
  <c r="K97" i="1"/>
  <c r="L97" i="1" s="1"/>
  <c r="K98" i="1"/>
  <c r="L98" i="1" s="1"/>
  <c r="K99" i="1"/>
  <c r="L99" i="1" s="1"/>
  <c r="K100" i="1"/>
  <c r="L100" i="1" s="1"/>
  <c r="K101" i="1"/>
  <c r="L101" i="1" s="1"/>
  <c r="K102" i="1"/>
  <c r="L102" i="1" s="1"/>
  <c r="K103" i="1"/>
  <c r="L103" i="1" s="1"/>
  <c r="K104" i="1"/>
  <c r="L104" i="1" s="1"/>
  <c r="K105" i="1"/>
  <c r="L105" i="1" s="1"/>
  <c r="K106" i="1"/>
  <c r="L106" i="1" s="1"/>
  <c r="K107" i="1"/>
  <c r="L107" i="1" s="1"/>
  <c r="K108" i="1"/>
  <c r="L108" i="1" s="1"/>
  <c r="K109" i="1"/>
  <c r="L109" i="1" s="1"/>
  <c r="K110" i="1"/>
  <c r="L110" i="1" s="1"/>
  <c r="K111" i="1"/>
  <c r="L111" i="1" s="1"/>
  <c r="K112" i="1"/>
  <c r="L112" i="1" s="1"/>
  <c r="K113" i="1"/>
  <c r="L113" i="1" s="1"/>
  <c r="K114" i="1"/>
  <c r="L114" i="1" s="1"/>
  <c r="K115" i="1"/>
  <c r="L115" i="1" s="1"/>
  <c r="K116" i="1"/>
  <c r="L116" i="1" s="1"/>
  <c r="K117" i="1"/>
  <c r="L117" i="1" s="1"/>
  <c r="K118" i="1"/>
  <c r="L118" i="1" s="1"/>
  <c r="K119" i="1"/>
  <c r="L119" i="1" s="1"/>
  <c r="K120" i="1"/>
  <c r="L120" i="1" s="1"/>
  <c r="K121" i="1"/>
  <c r="L121" i="1" s="1"/>
  <c r="K122" i="1"/>
  <c r="L122" i="1" s="1"/>
  <c r="K123" i="1"/>
  <c r="L123" i="1" s="1"/>
  <c r="K124" i="1"/>
  <c r="L124" i="1" s="1"/>
  <c r="K125" i="1"/>
  <c r="L125" i="1" s="1"/>
  <c r="K126" i="1"/>
  <c r="L126" i="1" s="1"/>
  <c r="K127" i="1"/>
  <c r="L127" i="1" s="1"/>
  <c r="K128" i="1"/>
  <c r="L128" i="1" s="1"/>
  <c r="K129" i="1"/>
  <c r="L129" i="1" s="1"/>
  <c r="K130" i="1"/>
  <c r="L130" i="1" s="1"/>
  <c r="K131" i="1"/>
  <c r="L131" i="1" s="1"/>
  <c r="K132" i="1"/>
  <c r="L132" i="1" s="1"/>
  <c r="K133" i="1"/>
  <c r="L133" i="1" s="1"/>
  <c r="K134" i="1"/>
  <c r="L134" i="1" s="1"/>
  <c r="K135" i="1"/>
  <c r="L135" i="1" s="1"/>
  <c r="K136" i="1"/>
  <c r="L136" i="1" s="1"/>
  <c r="K137" i="1"/>
  <c r="L137" i="1" s="1"/>
  <c r="K138" i="1"/>
  <c r="L138" i="1" s="1"/>
  <c r="K139" i="1"/>
  <c r="L139" i="1" s="1"/>
  <c r="K140" i="1"/>
  <c r="L140" i="1" s="1"/>
  <c r="K141" i="1"/>
  <c r="L141" i="1" s="1"/>
  <c r="K142" i="1"/>
  <c r="L142" i="1" s="1"/>
  <c r="K143" i="1"/>
  <c r="L143" i="1" s="1"/>
  <c r="K144" i="1"/>
  <c r="L144" i="1" s="1"/>
  <c r="K145" i="1"/>
  <c r="L145" i="1" s="1"/>
  <c r="K146" i="1"/>
  <c r="L146" i="1" s="1"/>
  <c r="K147" i="1"/>
  <c r="L147" i="1" s="1"/>
  <c r="K148" i="1"/>
  <c r="L148" i="1" s="1"/>
  <c r="K149" i="1"/>
  <c r="L149" i="1" s="1"/>
  <c r="K150" i="1"/>
  <c r="L150" i="1" s="1"/>
  <c r="K151" i="1"/>
  <c r="L151" i="1" s="1"/>
  <c r="K152" i="1"/>
  <c r="L152" i="1" s="1"/>
  <c r="K153" i="1"/>
  <c r="L153" i="1" s="1"/>
  <c r="K154" i="1"/>
  <c r="L154" i="1" s="1"/>
  <c r="K155" i="1"/>
  <c r="L155" i="1" s="1"/>
  <c r="K156" i="1"/>
  <c r="L156" i="1" s="1"/>
  <c r="K157" i="1"/>
  <c r="L157" i="1" s="1"/>
  <c r="K158" i="1"/>
  <c r="L158" i="1" s="1"/>
  <c r="K159" i="1"/>
  <c r="L159" i="1" s="1"/>
  <c r="K160" i="1"/>
  <c r="L160" i="1" s="1"/>
  <c r="K161" i="1"/>
  <c r="L161" i="1" s="1"/>
  <c r="K162" i="1"/>
  <c r="L162" i="1" s="1"/>
  <c r="K163" i="1"/>
  <c r="L163" i="1" s="1"/>
  <c r="K164" i="1"/>
  <c r="L164" i="1" s="1"/>
  <c r="K165" i="1"/>
  <c r="L165" i="1" s="1"/>
  <c r="K166" i="1"/>
  <c r="L166" i="1" s="1"/>
  <c r="K167" i="1"/>
  <c r="L167" i="1" s="1"/>
  <c r="K168" i="1"/>
  <c r="L168" i="1" s="1"/>
  <c r="K169" i="1"/>
  <c r="L169" i="1" s="1"/>
  <c r="K170" i="1"/>
  <c r="L170" i="1" s="1"/>
  <c r="K171" i="1"/>
  <c r="L171" i="1" s="1"/>
  <c r="K172" i="1"/>
  <c r="L172" i="1" s="1"/>
  <c r="K173" i="1"/>
  <c r="L173" i="1" s="1"/>
  <c r="K174" i="1"/>
  <c r="L174" i="1" s="1"/>
  <c r="K175" i="1"/>
  <c r="L175" i="1" s="1"/>
  <c r="K176" i="1"/>
  <c r="L176" i="1" s="1"/>
  <c r="K177" i="1"/>
  <c r="L177" i="1" s="1"/>
  <c r="K178" i="1"/>
  <c r="L178" i="1" s="1"/>
  <c r="K179" i="1"/>
  <c r="L179" i="1" s="1"/>
  <c r="K180" i="1"/>
  <c r="L180" i="1" s="1"/>
  <c r="K181" i="1"/>
  <c r="L181" i="1" s="1"/>
  <c r="K182" i="1"/>
  <c r="L182" i="1" s="1"/>
  <c r="K183" i="1"/>
  <c r="L183" i="1" s="1"/>
  <c r="K184" i="1"/>
  <c r="L184" i="1" s="1"/>
  <c r="K185" i="1"/>
  <c r="L185" i="1" s="1"/>
  <c r="K186" i="1"/>
  <c r="L186" i="1" s="1"/>
  <c r="K187" i="1"/>
  <c r="L187" i="1" s="1"/>
  <c r="K188" i="1"/>
  <c r="L188" i="1" s="1"/>
  <c r="K189" i="1"/>
  <c r="L189" i="1" s="1"/>
  <c r="K190" i="1"/>
  <c r="L190" i="1" s="1"/>
  <c r="K191" i="1"/>
  <c r="L191" i="1" s="1"/>
  <c r="K192" i="1"/>
  <c r="L192" i="1" s="1"/>
  <c r="K193" i="1"/>
  <c r="L193" i="1" s="1"/>
  <c r="K194" i="1"/>
  <c r="L194" i="1" s="1"/>
  <c r="K195" i="1"/>
  <c r="L195" i="1" s="1"/>
  <c r="K196" i="1"/>
  <c r="L196" i="1" s="1"/>
  <c r="K197" i="1"/>
  <c r="L197" i="1" s="1"/>
  <c r="K198" i="1"/>
  <c r="L198" i="1" s="1"/>
  <c r="K199" i="1"/>
  <c r="L199" i="1" s="1"/>
  <c r="K200" i="1"/>
  <c r="L200" i="1" s="1"/>
  <c r="K201" i="1"/>
  <c r="L201" i="1" s="1"/>
  <c r="K202" i="1"/>
  <c r="L202" i="1" s="1"/>
  <c r="K203" i="1"/>
  <c r="L203" i="1" s="1"/>
  <c r="K204" i="1"/>
  <c r="L204" i="1" s="1"/>
  <c r="K205" i="1"/>
  <c r="L205" i="1" s="1"/>
  <c r="K206" i="1"/>
  <c r="L206" i="1" s="1"/>
  <c r="K207" i="1"/>
  <c r="L207" i="1" s="1"/>
  <c r="K208" i="1"/>
  <c r="L208" i="1" s="1"/>
  <c r="K209" i="1"/>
  <c r="L209" i="1" s="1"/>
  <c r="K210" i="1"/>
  <c r="L210" i="1" s="1"/>
  <c r="K211" i="1"/>
  <c r="L211" i="1" s="1"/>
  <c r="K212" i="1"/>
  <c r="L212" i="1" s="1"/>
  <c r="K213" i="1"/>
  <c r="L213" i="1" s="1"/>
  <c r="K214" i="1"/>
  <c r="L214" i="1" s="1"/>
  <c r="K215" i="1"/>
  <c r="L215" i="1" s="1"/>
  <c r="K216" i="1"/>
  <c r="L216" i="1" s="1"/>
  <c r="K217" i="1"/>
  <c r="L217" i="1" s="1"/>
  <c r="K218" i="1"/>
  <c r="L218" i="1" s="1"/>
  <c r="K219" i="1"/>
  <c r="L219" i="1" s="1"/>
  <c r="K220" i="1"/>
  <c r="L220" i="1" s="1"/>
  <c r="K221" i="1"/>
  <c r="L221" i="1" s="1"/>
  <c r="K222" i="1"/>
  <c r="L222" i="1" s="1"/>
  <c r="K223" i="1"/>
  <c r="L223" i="1" s="1"/>
  <c r="K224" i="1"/>
  <c r="L224" i="1" s="1"/>
  <c r="K225" i="1"/>
  <c r="L225" i="1" s="1"/>
  <c r="K226" i="1"/>
  <c r="L226" i="1" s="1"/>
  <c r="K227" i="1"/>
  <c r="L227" i="1" s="1"/>
  <c r="K228" i="1"/>
  <c r="L228" i="1" s="1"/>
  <c r="K229" i="1"/>
  <c r="L229" i="1" s="1"/>
  <c r="K230" i="1"/>
  <c r="L230" i="1" s="1"/>
  <c r="K231" i="1"/>
  <c r="L231" i="1" s="1"/>
  <c r="K232" i="1"/>
  <c r="L232" i="1" s="1"/>
  <c r="K233" i="1"/>
  <c r="L233" i="1" s="1"/>
  <c r="K234" i="1"/>
  <c r="L234" i="1" s="1"/>
  <c r="K235" i="1"/>
  <c r="L235" i="1" s="1"/>
  <c r="K236" i="1"/>
  <c r="L236" i="1" s="1"/>
  <c r="K237" i="1"/>
  <c r="L237" i="1" s="1"/>
  <c r="K238" i="1"/>
  <c r="L238" i="1" s="1"/>
  <c r="K239" i="1"/>
  <c r="L239" i="1" s="1"/>
  <c r="K240" i="1"/>
  <c r="L240" i="1" s="1"/>
  <c r="K241" i="1"/>
  <c r="L241" i="1" s="1"/>
  <c r="K242" i="1"/>
  <c r="L242" i="1" s="1"/>
  <c r="K243" i="1"/>
  <c r="L243" i="1" s="1"/>
  <c r="K244" i="1"/>
  <c r="L244" i="1" s="1"/>
  <c r="K245" i="1"/>
  <c r="L245" i="1" s="1"/>
  <c r="K246" i="1"/>
  <c r="L246" i="1" s="1"/>
  <c r="K247" i="1"/>
  <c r="L247" i="1" s="1"/>
  <c r="K248" i="1"/>
  <c r="L248" i="1" s="1"/>
  <c r="K249" i="1"/>
  <c r="L249" i="1" s="1"/>
  <c r="K250" i="1"/>
  <c r="L250" i="1" s="1"/>
  <c r="K251" i="1"/>
  <c r="L251" i="1" s="1"/>
  <c r="K252" i="1"/>
  <c r="L252" i="1" s="1"/>
  <c r="K253" i="1"/>
  <c r="L253" i="1" s="1"/>
  <c r="K254" i="1"/>
  <c r="L254" i="1" s="1"/>
  <c r="K255" i="1"/>
  <c r="L255" i="1" s="1"/>
  <c r="K256" i="1"/>
  <c r="L256" i="1" s="1"/>
  <c r="K257" i="1"/>
  <c r="L257" i="1" s="1"/>
  <c r="K258" i="1"/>
  <c r="L258" i="1" s="1"/>
  <c r="K259" i="1"/>
  <c r="L259" i="1" s="1"/>
  <c r="K260" i="1"/>
  <c r="L260" i="1" s="1"/>
  <c r="K261" i="1"/>
  <c r="L261" i="1" s="1"/>
  <c r="K262" i="1"/>
  <c r="L262" i="1" s="1"/>
  <c r="K263" i="1"/>
  <c r="L263" i="1" s="1"/>
  <c r="K264" i="1"/>
  <c r="L264" i="1" s="1"/>
  <c r="K265" i="1"/>
  <c r="L265" i="1" s="1"/>
  <c r="K266" i="1"/>
  <c r="L266" i="1" s="1"/>
  <c r="K267" i="1"/>
  <c r="L267" i="1" s="1"/>
  <c r="K268" i="1"/>
  <c r="L268" i="1" s="1"/>
  <c r="K269" i="1"/>
  <c r="L269" i="1" s="1"/>
  <c r="K270" i="1"/>
  <c r="L270" i="1" s="1"/>
  <c r="K271" i="1"/>
  <c r="L271" i="1" s="1"/>
  <c r="K272" i="1"/>
  <c r="L272" i="1" s="1"/>
  <c r="K273" i="1"/>
  <c r="L273" i="1" s="1"/>
  <c r="K274" i="1"/>
  <c r="L274" i="1" s="1"/>
  <c r="K275" i="1"/>
  <c r="L275" i="1" s="1"/>
  <c r="K276" i="1"/>
  <c r="L276" i="1" s="1"/>
  <c r="K277" i="1"/>
  <c r="L277" i="1" s="1"/>
  <c r="K278" i="1"/>
  <c r="L278" i="1" s="1"/>
  <c r="K279" i="1"/>
  <c r="L279" i="1" s="1"/>
  <c r="K280" i="1"/>
  <c r="L280" i="1" s="1"/>
  <c r="K281" i="1"/>
  <c r="L281" i="1" s="1"/>
  <c r="K282" i="1"/>
  <c r="L282" i="1" s="1"/>
  <c r="K283" i="1"/>
  <c r="L283" i="1" s="1"/>
  <c r="K284" i="1"/>
  <c r="L284" i="1" s="1"/>
  <c r="K285" i="1"/>
  <c r="L285" i="1" s="1"/>
  <c r="K286" i="1"/>
  <c r="L286" i="1" s="1"/>
  <c r="K287" i="1"/>
  <c r="L287" i="1" s="1"/>
  <c r="K288" i="1"/>
  <c r="L288" i="1" s="1"/>
  <c r="K289" i="1"/>
  <c r="L289" i="1" s="1"/>
  <c r="K290" i="1"/>
  <c r="L290" i="1" s="1"/>
  <c r="K291" i="1"/>
  <c r="L291" i="1" s="1"/>
  <c r="K292" i="1"/>
  <c r="L292" i="1" s="1"/>
  <c r="K293" i="1"/>
  <c r="L293" i="1" s="1"/>
  <c r="K294" i="1"/>
  <c r="L294" i="1" s="1"/>
  <c r="K295" i="1"/>
  <c r="L295" i="1" s="1"/>
  <c r="K296" i="1"/>
  <c r="L296" i="1" s="1"/>
  <c r="K297" i="1"/>
  <c r="L297" i="1" s="1"/>
  <c r="K298" i="1"/>
  <c r="L298" i="1" s="1"/>
  <c r="K299" i="1"/>
  <c r="L299" i="1" s="1"/>
  <c r="K300" i="1"/>
  <c r="L300" i="1" s="1"/>
  <c r="K301" i="1"/>
  <c r="L301" i="1" s="1"/>
  <c r="K302" i="1"/>
  <c r="L302" i="1" s="1"/>
  <c r="K303" i="1"/>
  <c r="L303" i="1" s="1"/>
  <c r="K304" i="1"/>
  <c r="L304" i="1" s="1"/>
  <c r="K305" i="1"/>
  <c r="L305" i="1" s="1"/>
  <c r="K306" i="1"/>
  <c r="L306" i="1" s="1"/>
  <c r="K307" i="1"/>
  <c r="L307" i="1" s="1"/>
  <c r="K308" i="1"/>
  <c r="L308" i="1" s="1"/>
  <c r="K309" i="1"/>
  <c r="L309" i="1" s="1"/>
  <c r="K310" i="1"/>
  <c r="L310" i="1" s="1"/>
  <c r="K311" i="1"/>
  <c r="L311" i="1" s="1"/>
  <c r="K312" i="1"/>
  <c r="L312" i="1" s="1"/>
  <c r="K313" i="1"/>
  <c r="L313" i="1" s="1"/>
  <c r="K314" i="1"/>
  <c r="L314" i="1" s="1"/>
  <c r="K315" i="1"/>
  <c r="L315" i="1" s="1"/>
  <c r="K316" i="1"/>
  <c r="L316" i="1" s="1"/>
  <c r="K317" i="1"/>
  <c r="L317" i="1" s="1"/>
  <c r="K318" i="1"/>
  <c r="L318" i="1" s="1"/>
  <c r="K319" i="1"/>
  <c r="L319" i="1" s="1"/>
  <c r="K320" i="1"/>
  <c r="L320" i="1" s="1"/>
  <c r="K321" i="1"/>
  <c r="L321" i="1" s="1"/>
  <c r="K322" i="1"/>
  <c r="L322" i="1" s="1"/>
  <c r="K323" i="1"/>
  <c r="L323" i="1" s="1"/>
  <c r="K324" i="1"/>
  <c r="L324" i="1" s="1"/>
  <c r="K325" i="1"/>
  <c r="L325" i="1" s="1"/>
  <c r="K326" i="1"/>
  <c r="L326" i="1" s="1"/>
  <c r="K327" i="1"/>
  <c r="L327" i="1" s="1"/>
  <c r="K328" i="1"/>
  <c r="L328" i="1" s="1"/>
  <c r="K329" i="1"/>
  <c r="L329" i="1" s="1"/>
  <c r="K330" i="1"/>
  <c r="L330" i="1" s="1"/>
  <c r="K331" i="1"/>
  <c r="L331" i="1" s="1"/>
  <c r="K332" i="1"/>
  <c r="L332" i="1" s="1"/>
  <c r="K333" i="1"/>
  <c r="L333" i="1" s="1"/>
  <c r="K334" i="1"/>
  <c r="L334" i="1" s="1"/>
  <c r="K335" i="1"/>
  <c r="L335" i="1" s="1"/>
  <c r="K336" i="1"/>
  <c r="L336" i="1" s="1"/>
  <c r="K337" i="1"/>
  <c r="L337" i="1" s="1"/>
  <c r="K338" i="1"/>
  <c r="L338" i="1" s="1"/>
  <c r="K339" i="1"/>
  <c r="L339" i="1" s="1"/>
  <c r="K340" i="1"/>
  <c r="L340" i="1" s="1"/>
  <c r="K341" i="1"/>
  <c r="L341" i="1" s="1"/>
  <c r="K342" i="1"/>
  <c r="L342" i="1" s="1"/>
  <c r="K343" i="1"/>
  <c r="L343" i="1" s="1"/>
  <c r="K344" i="1"/>
  <c r="L344" i="1" s="1"/>
  <c r="K345" i="1"/>
  <c r="L345" i="1" s="1"/>
  <c r="K346" i="1"/>
  <c r="L346" i="1" s="1"/>
  <c r="K347" i="1"/>
  <c r="L347" i="1" s="1"/>
  <c r="K348" i="1"/>
  <c r="L348" i="1" s="1"/>
  <c r="K349" i="1"/>
  <c r="L349" i="1" s="1"/>
  <c r="K350" i="1"/>
  <c r="L350" i="1" s="1"/>
  <c r="K351" i="1"/>
  <c r="L351" i="1" s="1"/>
  <c r="K352" i="1"/>
  <c r="L352" i="1" s="1"/>
  <c r="K353" i="1"/>
  <c r="L353" i="1" s="1"/>
  <c r="K354" i="1"/>
  <c r="L354" i="1" s="1"/>
  <c r="K355" i="1"/>
  <c r="L355" i="1" s="1"/>
  <c r="K356" i="1"/>
  <c r="L356" i="1" s="1"/>
  <c r="K357" i="1"/>
  <c r="L357" i="1" s="1"/>
  <c r="K358" i="1"/>
  <c r="L358" i="1" s="1"/>
  <c r="K359" i="1"/>
  <c r="L359" i="1" s="1"/>
  <c r="K360" i="1"/>
  <c r="L360" i="1" s="1"/>
  <c r="K361" i="1"/>
  <c r="L361" i="1" s="1"/>
  <c r="K362" i="1"/>
  <c r="L362" i="1" s="1"/>
  <c r="K363" i="1"/>
  <c r="L363" i="1" s="1"/>
  <c r="K364" i="1"/>
  <c r="L364" i="1" s="1"/>
  <c r="K365" i="1"/>
  <c r="L365" i="1" s="1"/>
  <c r="K366" i="1"/>
  <c r="L366" i="1" s="1"/>
  <c r="K367" i="1"/>
  <c r="L367" i="1" s="1"/>
  <c r="K368" i="1"/>
  <c r="L368" i="1" s="1"/>
  <c r="K369" i="1"/>
  <c r="L369" i="1" s="1"/>
  <c r="K370" i="1"/>
  <c r="L370" i="1" s="1"/>
  <c r="K371" i="1"/>
  <c r="L371" i="1" s="1"/>
  <c r="K372" i="1"/>
  <c r="L372" i="1" s="1"/>
  <c r="K373" i="1"/>
  <c r="L373" i="1" s="1"/>
  <c r="K374" i="1"/>
  <c r="L374" i="1" s="1"/>
  <c r="K375" i="1"/>
  <c r="L375" i="1" s="1"/>
  <c r="K376" i="1"/>
  <c r="L376" i="1" s="1"/>
  <c r="K377" i="1"/>
  <c r="L377" i="1" s="1"/>
  <c r="K378" i="1"/>
  <c r="L378" i="1" s="1"/>
  <c r="K379" i="1"/>
  <c r="L379" i="1" s="1"/>
  <c r="K380" i="1"/>
  <c r="L380" i="1" s="1"/>
  <c r="K381" i="1"/>
  <c r="L381" i="1" s="1"/>
  <c r="K382" i="1"/>
  <c r="L382" i="1" s="1"/>
  <c r="K383" i="1"/>
  <c r="L383" i="1" s="1"/>
  <c r="K384" i="1"/>
  <c r="L384" i="1" s="1"/>
  <c r="K385" i="1"/>
  <c r="L385" i="1" s="1"/>
  <c r="K386" i="1"/>
  <c r="L386" i="1" s="1"/>
  <c r="K387" i="1"/>
  <c r="L387" i="1" s="1"/>
  <c r="K388" i="1"/>
  <c r="L388" i="1" s="1"/>
  <c r="K389" i="1"/>
  <c r="L389" i="1" s="1"/>
  <c r="K390" i="1"/>
  <c r="L390" i="1" s="1"/>
  <c r="K391" i="1"/>
  <c r="L391" i="1" s="1"/>
  <c r="K392" i="1"/>
  <c r="L392" i="1" s="1"/>
  <c r="K393" i="1"/>
  <c r="L393" i="1" s="1"/>
  <c r="K394" i="1"/>
  <c r="L394" i="1" s="1"/>
  <c r="K395" i="1"/>
  <c r="L395" i="1" s="1"/>
  <c r="K396" i="1"/>
  <c r="L396" i="1" s="1"/>
  <c r="K397" i="1"/>
  <c r="L397" i="1" s="1"/>
  <c r="K398" i="1"/>
  <c r="L398" i="1" s="1"/>
  <c r="K399" i="1"/>
  <c r="L399" i="1" s="1"/>
  <c r="K400" i="1"/>
  <c r="L400" i="1" s="1"/>
  <c r="K401" i="1"/>
  <c r="L401" i="1" s="1"/>
  <c r="K402" i="1"/>
  <c r="L402" i="1" s="1"/>
  <c r="K403" i="1"/>
  <c r="L403" i="1" s="1"/>
  <c r="K404" i="1"/>
  <c r="L404" i="1" s="1"/>
  <c r="K405" i="1"/>
  <c r="L405" i="1" s="1"/>
  <c r="K406" i="1"/>
  <c r="L406" i="1" s="1"/>
  <c r="K407" i="1"/>
  <c r="L407" i="1" s="1"/>
  <c r="K408" i="1"/>
  <c r="L408" i="1" s="1"/>
  <c r="K409" i="1"/>
  <c r="L409" i="1" s="1"/>
  <c r="K410" i="1"/>
  <c r="L410" i="1" s="1"/>
  <c r="K411" i="1"/>
  <c r="L411" i="1" s="1"/>
  <c r="K412" i="1"/>
  <c r="L412" i="1" s="1"/>
  <c r="K413" i="1"/>
  <c r="L413" i="1" s="1"/>
  <c r="K414" i="1"/>
  <c r="L414" i="1" s="1"/>
  <c r="K415" i="1"/>
  <c r="L415" i="1" s="1"/>
  <c r="K416" i="1"/>
  <c r="L416" i="1" s="1"/>
  <c r="K417" i="1"/>
  <c r="L417" i="1" s="1"/>
  <c r="K418" i="1"/>
  <c r="L418" i="1" s="1"/>
  <c r="K419" i="1"/>
  <c r="L419" i="1" s="1"/>
  <c r="K420" i="1"/>
  <c r="L420" i="1" s="1"/>
  <c r="K421" i="1"/>
  <c r="L421" i="1" s="1"/>
  <c r="K422" i="1"/>
  <c r="L422" i="1" s="1"/>
  <c r="K423" i="1"/>
  <c r="L423" i="1" s="1"/>
  <c r="K424" i="1"/>
  <c r="L424" i="1" s="1"/>
  <c r="K425" i="1"/>
  <c r="L425" i="1" s="1"/>
  <c r="K426" i="1"/>
  <c r="L426" i="1" s="1"/>
  <c r="K427" i="1"/>
  <c r="L427" i="1" s="1"/>
  <c r="K428" i="1"/>
  <c r="L428" i="1" s="1"/>
  <c r="K429" i="1"/>
  <c r="L429" i="1" s="1"/>
  <c r="K430" i="1"/>
  <c r="L430" i="1" s="1"/>
  <c r="K431" i="1"/>
  <c r="L431" i="1" s="1"/>
  <c r="K432" i="1"/>
  <c r="L432" i="1" s="1"/>
  <c r="K433" i="1"/>
  <c r="L433" i="1" s="1"/>
  <c r="K434" i="1"/>
  <c r="L434" i="1" s="1"/>
  <c r="K435" i="1"/>
  <c r="L435" i="1" s="1"/>
  <c r="K436" i="1"/>
  <c r="L436" i="1" s="1"/>
  <c r="K437" i="1"/>
  <c r="L437" i="1" s="1"/>
  <c r="K438" i="1"/>
  <c r="L438" i="1" s="1"/>
  <c r="K439" i="1"/>
  <c r="L439" i="1" s="1"/>
  <c r="K440" i="1"/>
  <c r="L440" i="1" s="1"/>
  <c r="K441" i="1"/>
  <c r="L441" i="1" s="1"/>
  <c r="K442" i="1"/>
  <c r="L442" i="1" s="1"/>
  <c r="K443" i="1"/>
  <c r="L443" i="1" s="1"/>
  <c r="K444" i="1"/>
  <c r="L444" i="1" s="1"/>
  <c r="K445" i="1"/>
  <c r="L445" i="1" s="1"/>
  <c r="K446" i="1"/>
  <c r="L446" i="1" s="1"/>
  <c r="K447" i="1"/>
  <c r="L447" i="1" s="1"/>
  <c r="K448" i="1"/>
  <c r="L448" i="1" s="1"/>
  <c r="K449" i="1"/>
  <c r="L449" i="1" s="1"/>
  <c r="K450" i="1"/>
  <c r="L450" i="1" s="1"/>
  <c r="K451" i="1"/>
  <c r="L451" i="1" s="1"/>
  <c r="K452" i="1"/>
  <c r="L452" i="1" s="1"/>
  <c r="K453" i="1"/>
  <c r="L453" i="1" s="1"/>
  <c r="K454" i="1"/>
  <c r="L454" i="1" s="1"/>
  <c r="K455" i="1"/>
  <c r="L455" i="1" s="1"/>
  <c r="K456" i="1"/>
  <c r="L456" i="1" s="1"/>
  <c r="K457" i="1"/>
  <c r="L457" i="1" s="1"/>
  <c r="K458" i="1"/>
  <c r="L458" i="1" s="1"/>
  <c r="K459" i="1"/>
  <c r="L459" i="1" s="1"/>
  <c r="K460" i="1"/>
  <c r="L460" i="1" s="1"/>
  <c r="K461" i="1"/>
  <c r="L461" i="1" s="1"/>
  <c r="K462" i="1"/>
  <c r="L462" i="1" s="1"/>
  <c r="K463" i="1"/>
  <c r="L463" i="1" s="1"/>
  <c r="K464" i="1"/>
  <c r="L464" i="1" s="1"/>
  <c r="K465" i="1"/>
  <c r="L465" i="1" s="1"/>
  <c r="K466" i="1"/>
  <c r="L466" i="1" s="1"/>
  <c r="K467" i="1"/>
  <c r="L467" i="1" s="1"/>
  <c r="K468" i="1"/>
  <c r="L468" i="1" s="1"/>
  <c r="K469" i="1"/>
  <c r="L469" i="1" s="1"/>
  <c r="K470" i="1"/>
  <c r="L470" i="1" s="1"/>
  <c r="K471" i="1"/>
  <c r="L471" i="1" s="1"/>
  <c r="K472" i="1"/>
  <c r="L472" i="1" s="1"/>
  <c r="K473" i="1"/>
  <c r="L473" i="1" s="1"/>
  <c r="K474" i="1"/>
  <c r="L474" i="1" s="1"/>
  <c r="K475" i="1"/>
  <c r="L475" i="1" s="1"/>
  <c r="K476" i="1"/>
  <c r="L476" i="1" s="1"/>
  <c r="K477" i="1"/>
  <c r="L477" i="1" s="1"/>
  <c r="K478" i="1"/>
  <c r="L478" i="1" s="1"/>
  <c r="K479" i="1"/>
  <c r="L479" i="1" s="1"/>
  <c r="K480" i="1"/>
  <c r="L480" i="1" s="1"/>
  <c r="K481" i="1"/>
  <c r="L481" i="1" s="1"/>
  <c r="K482" i="1"/>
  <c r="L482" i="1" s="1"/>
  <c r="K483" i="1"/>
  <c r="L483" i="1" s="1"/>
  <c r="K484" i="1"/>
  <c r="L484" i="1" s="1"/>
  <c r="K485" i="1"/>
  <c r="L485" i="1" s="1"/>
  <c r="K486" i="1"/>
  <c r="L486" i="1" s="1"/>
  <c r="K487" i="1"/>
  <c r="L487" i="1" s="1"/>
  <c r="K488" i="1"/>
  <c r="L488" i="1" s="1"/>
  <c r="K489" i="1"/>
  <c r="L489" i="1" s="1"/>
  <c r="K490" i="1"/>
  <c r="L490" i="1" s="1"/>
  <c r="K491" i="1"/>
  <c r="L491" i="1" s="1"/>
  <c r="K492" i="1"/>
  <c r="L492" i="1" s="1"/>
  <c r="K493" i="1"/>
  <c r="L493" i="1" s="1"/>
  <c r="K494" i="1"/>
  <c r="L494" i="1" s="1"/>
  <c r="K495" i="1"/>
  <c r="L495" i="1" s="1"/>
  <c r="K496" i="1"/>
  <c r="L496" i="1" s="1"/>
  <c r="K497" i="1"/>
  <c r="L497" i="1" s="1"/>
  <c r="K498" i="1"/>
  <c r="L498" i="1" s="1"/>
  <c r="K499" i="1"/>
  <c r="L499" i="1" s="1"/>
  <c r="K500" i="1"/>
  <c r="L500" i="1" s="1"/>
  <c r="K501" i="1"/>
  <c r="L501" i="1" s="1"/>
  <c r="K502" i="1"/>
  <c r="L502" i="1" s="1"/>
  <c r="K503" i="1"/>
  <c r="L503" i="1" s="1"/>
  <c r="K504" i="1"/>
  <c r="L504" i="1" s="1"/>
  <c r="K505" i="1"/>
  <c r="L505" i="1" s="1"/>
  <c r="K506" i="1"/>
  <c r="L506" i="1" s="1"/>
  <c r="K507" i="1"/>
  <c r="L507" i="1" s="1"/>
  <c r="K508" i="1"/>
  <c r="L508" i="1" s="1"/>
  <c r="K509" i="1"/>
  <c r="L509" i="1" s="1"/>
  <c r="K510" i="1"/>
  <c r="L510" i="1" s="1"/>
  <c r="K511" i="1"/>
  <c r="L511" i="1" s="1"/>
  <c r="K512" i="1"/>
  <c r="L512" i="1" s="1"/>
  <c r="K513" i="1"/>
  <c r="L513" i="1" s="1"/>
  <c r="K514" i="1"/>
  <c r="L514" i="1" s="1"/>
  <c r="K515" i="1"/>
  <c r="L515" i="1" s="1"/>
  <c r="K516" i="1"/>
  <c r="L516" i="1" s="1"/>
  <c r="K517" i="1"/>
  <c r="L517" i="1" s="1"/>
  <c r="K518" i="1"/>
  <c r="L518" i="1" s="1"/>
  <c r="K519" i="1"/>
  <c r="L519" i="1" s="1"/>
  <c r="K520" i="1"/>
  <c r="L520" i="1" s="1"/>
  <c r="K521" i="1"/>
  <c r="L521" i="1" s="1"/>
  <c r="K522" i="1"/>
  <c r="L522" i="1" s="1"/>
  <c r="K523" i="1"/>
  <c r="L523" i="1" s="1"/>
  <c r="K524" i="1"/>
  <c r="L524" i="1" s="1"/>
  <c r="K525" i="1"/>
  <c r="L525" i="1" s="1"/>
  <c r="K526" i="1"/>
  <c r="L526" i="1" s="1"/>
  <c r="K527" i="1"/>
  <c r="L527" i="1" s="1"/>
  <c r="K528" i="1"/>
  <c r="L528" i="1" s="1"/>
  <c r="K529" i="1"/>
  <c r="L529" i="1" s="1"/>
  <c r="K530" i="1"/>
  <c r="L530" i="1" s="1"/>
  <c r="K531" i="1"/>
  <c r="L531" i="1" s="1"/>
  <c r="K532" i="1"/>
  <c r="L532" i="1" s="1"/>
  <c r="K533" i="1"/>
  <c r="L533" i="1" s="1"/>
  <c r="K534" i="1"/>
  <c r="L534" i="1" s="1"/>
  <c r="K535" i="1"/>
  <c r="L535" i="1" s="1"/>
  <c r="K536" i="1"/>
  <c r="L536" i="1" s="1"/>
  <c r="K537" i="1"/>
  <c r="L537" i="1" s="1"/>
  <c r="K538" i="1"/>
  <c r="L538" i="1" s="1"/>
  <c r="K539" i="1"/>
  <c r="L539" i="1" s="1"/>
  <c r="K540" i="1"/>
  <c r="L540" i="1" s="1"/>
  <c r="K541" i="1"/>
  <c r="L541" i="1" s="1"/>
  <c r="K542" i="1"/>
  <c r="L542" i="1" s="1"/>
  <c r="K543" i="1"/>
  <c r="L543" i="1" s="1"/>
  <c r="K544" i="1"/>
  <c r="L544" i="1" s="1"/>
  <c r="K545" i="1"/>
  <c r="L545" i="1" s="1"/>
  <c r="K546" i="1"/>
  <c r="L546" i="1" s="1"/>
  <c r="K547" i="1"/>
  <c r="L547" i="1" s="1"/>
  <c r="K548" i="1"/>
  <c r="L548" i="1" s="1"/>
  <c r="K549" i="1"/>
  <c r="L549" i="1" s="1"/>
  <c r="K550" i="1"/>
  <c r="L550" i="1" s="1"/>
  <c r="K551" i="1"/>
  <c r="L551" i="1" s="1"/>
  <c r="K552" i="1"/>
  <c r="L552" i="1" s="1"/>
  <c r="K553" i="1"/>
  <c r="L553" i="1" s="1"/>
  <c r="K554" i="1"/>
  <c r="L554" i="1" s="1"/>
  <c r="K555" i="1"/>
  <c r="L555" i="1" s="1"/>
  <c r="K556" i="1"/>
  <c r="L556" i="1" s="1"/>
  <c r="K557" i="1"/>
  <c r="L557" i="1" s="1"/>
  <c r="K558" i="1"/>
  <c r="L558" i="1" s="1"/>
  <c r="K559" i="1"/>
  <c r="L559" i="1" s="1"/>
  <c r="K560" i="1"/>
  <c r="L560" i="1" s="1"/>
  <c r="K561" i="1"/>
  <c r="L561" i="1" s="1"/>
  <c r="K562" i="1"/>
  <c r="L562" i="1" s="1"/>
  <c r="K563" i="1"/>
  <c r="L563" i="1" s="1"/>
  <c r="K564" i="1"/>
  <c r="L564" i="1" s="1"/>
  <c r="K565" i="1"/>
  <c r="L565" i="1" s="1"/>
  <c r="K566" i="1"/>
  <c r="L566" i="1" s="1"/>
  <c r="K567" i="1"/>
  <c r="L567" i="1" s="1"/>
  <c r="K568" i="1"/>
  <c r="L568" i="1" s="1"/>
  <c r="K569" i="1"/>
  <c r="L569" i="1" s="1"/>
  <c r="K570" i="1"/>
  <c r="L570" i="1" s="1"/>
  <c r="K571" i="1"/>
  <c r="L571" i="1" s="1"/>
  <c r="K572" i="1"/>
  <c r="L572" i="1" s="1"/>
  <c r="K573" i="1"/>
  <c r="L573" i="1" s="1"/>
  <c r="K574" i="1"/>
  <c r="L574" i="1" s="1"/>
  <c r="K575" i="1"/>
  <c r="L575" i="1" s="1"/>
  <c r="K576" i="1"/>
  <c r="L576" i="1" s="1"/>
  <c r="K577" i="1"/>
  <c r="L577" i="1" s="1"/>
  <c r="K578" i="1"/>
  <c r="L578" i="1" s="1"/>
  <c r="K579" i="1"/>
  <c r="L579" i="1" s="1"/>
  <c r="K580" i="1"/>
  <c r="L580" i="1" s="1"/>
  <c r="K581" i="1"/>
  <c r="L581" i="1" s="1"/>
  <c r="K582" i="1"/>
  <c r="L582" i="1" s="1"/>
  <c r="K583" i="1"/>
  <c r="L583" i="1" s="1"/>
  <c r="K584" i="1"/>
  <c r="L584" i="1" s="1"/>
  <c r="K585" i="1"/>
  <c r="L585" i="1" s="1"/>
  <c r="K586" i="1"/>
  <c r="L586" i="1" s="1"/>
  <c r="K587" i="1"/>
  <c r="L587" i="1" s="1"/>
  <c r="K588" i="1"/>
  <c r="L588" i="1" s="1"/>
  <c r="K589" i="1"/>
  <c r="L589" i="1" s="1"/>
  <c r="K590" i="1"/>
  <c r="L590" i="1" s="1"/>
  <c r="K591" i="1"/>
  <c r="L591" i="1" s="1"/>
  <c r="K592" i="1"/>
  <c r="L592" i="1" s="1"/>
  <c r="K593" i="1"/>
  <c r="L593" i="1" s="1"/>
  <c r="K594" i="1"/>
  <c r="L594" i="1" s="1"/>
  <c r="K595" i="1"/>
  <c r="L595" i="1" s="1"/>
  <c r="K596" i="1"/>
  <c r="L596" i="1" s="1"/>
  <c r="K597" i="1"/>
  <c r="L597" i="1" s="1"/>
  <c r="K598" i="1"/>
  <c r="L598" i="1" s="1"/>
  <c r="K599" i="1"/>
  <c r="L599" i="1" s="1"/>
  <c r="K600" i="1"/>
  <c r="L600" i="1" s="1"/>
  <c r="K601" i="1"/>
  <c r="L601" i="1" s="1"/>
  <c r="K602" i="1"/>
  <c r="L602" i="1" s="1"/>
  <c r="K603" i="1"/>
  <c r="L603" i="1" s="1"/>
  <c r="K604" i="1"/>
  <c r="L604" i="1" s="1"/>
  <c r="K605" i="1"/>
  <c r="L605" i="1" s="1"/>
  <c r="K606" i="1"/>
  <c r="L606" i="1" s="1"/>
  <c r="K607" i="1"/>
  <c r="L607" i="1" s="1"/>
  <c r="K608" i="1"/>
  <c r="L608" i="1" s="1"/>
  <c r="K609" i="1"/>
  <c r="L609" i="1" s="1"/>
  <c r="K610" i="1"/>
  <c r="L610" i="1" s="1"/>
  <c r="K611" i="1"/>
  <c r="L611" i="1" s="1"/>
  <c r="K612" i="1"/>
  <c r="L612" i="1" s="1"/>
  <c r="K613" i="1"/>
  <c r="L613" i="1" s="1"/>
  <c r="K614" i="1"/>
  <c r="L614" i="1" s="1"/>
  <c r="K615" i="1"/>
  <c r="L615" i="1" s="1"/>
  <c r="K616" i="1"/>
  <c r="L616" i="1" s="1"/>
  <c r="K617" i="1"/>
  <c r="L617" i="1" s="1"/>
  <c r="K618" i="1"/>
  <c r="L618" i="1" s="1"/>
  <c r="K619" i="1"/>
  <c r="L619" i="1" s="1"/>
  <c r="K620" i="1"/>
  <c r="L620" i="1" s="1"/>
  <c r="K621" i="1"/>
  <c r="L621" i="1" s="1"/>
  <c r="K622" i="1"/>
  <c r="L622" i="1" s="1"/>
  <c r="K623" i="1"/>
  <c r="L623" i="1" s="1"/>
  <c r="K624" i="1"/>
  <c r="L624" i="1" s="1"/>
  <c r="K625" i="1"/>
  <c r="L625" i="1" s="1"/>
  <c r="K626" i="1"/>
  <c r="L626" i="1" s="1"/>
  <c r="K627" i="1"/>
  <c r="L627" i="1" s="1"/>
  <c r="K628" i="1"/>
  <c r="L628" i="1" s="1"/>
  <c r="K629" i="1"/>
  <c r="L629" i="1" s="1"/>
  <c r="K630" i="1"/>
  <c r="L630" i="1" s="1"/>
  <c r="K631" i="1"/>
  <c r="L631" i="1" s="1"/>
  <c r="K632" i="1"/>
  <c r="L632" i="1" s="1"/>
  <c r="K633" i="1"/>
  <c r="L633" i="1" s="1"/>
  <c r="K634" i="1"/>
  <c r="L634" i="1" s="1"/>
  <c r="K635" i="1"/>
  <c r="L635" i="1" s="1"/>
  <c r="K636" i="1"/>
  <c r="L636" i="1" s="1"/>
  <c r="K637" i="1"/>
  <c r="L637" i="1" s="1"/>
  <c r="K638" i="1"/>
  <c r="L638" i="1" s="1"/>
  <c r="K639" i="1"/>
  <c r="L639" i="1" s="1"/>
  <c r="K640" i="1"/>
  <c r="L640" i="1" s="1"/>
  <c r="K641" i="1"/>
  <c r="L641" i="1" s="1"/>
  <c r="K642" i="1"/>
  <c r="L642" i="1" s="1"/>
  <c r="K643" i="1"/>
  <c r="L643" i="1" s="1"/>
  <c r="K644" i="1"/>
  <c r="L644" i="1" s="1"/>
  <c r="K645" i="1"/>
  <c r="L645" i="1" s="1"/>
  <c r="K646" i="1"/>
  <c r="L646" i="1" s="1"/>
  <c r="K647" i="1"/>
  <c r="L647" i="1" s="1"/>
  <c r="K648" i="1"/>
  <c r="L648" i="1" s="1"/>
  <c r="K649" i="1"/>
  <c r="L649" i="1" s="1"/>
  <c r="K650" i="1"/>
  <c r="L650" i="1" s="1"/>
  <c r="K651" i="1"/>
  <c r="L651" i="1" s="1"/>
  <c r="K652" i="1"/>
  <c r="L652" i="1" s="1"/>
  <c r="K653" i="1"/>
  <c r="L653" i="1" s="1"/>
  <c r="K654" i="1"/>
  <c r="L654" i="1" s="1"/>
  <c r="K655" i="1"/>
  <c r="L655" i="1" s="1"/>
  <c r="K656" i="1"/>
  <c r="L656" i="1" s="1"/>
  <c r="K657" i="1"/>
  <c r="L657" i="1" s="1"/>
  <c r="K658" i="1"/>
  <c r="L658" i="1" s="1"/>
  <c r="K659" i="1"/>
  <c r="L659" i="1" s="1"/>
  <c r="K660" i="1"/>
  <c r="L660" i="1" s="1"/>
  <c r="K661" i="1"/>
  <c r="L661" i="1" s="1"/>
  <c r="K662" i="1"/>
  <c r="L662" i="1" s="1"/>
  <c r="K663" i="1"/>
  <c r="L663" i="1" s="1"/>
  <c r="K664" i="1"/>
  <c r="L664" i="1" s="1"/>
  <c r="K665" i="1"/>
  <c r="L665" i="1" s="1"/>
  <c r="K666" i="1"/>
  <c r="L666" i="1" s="1"/>
  <c r="K667" i="1"/>
  <c r="L667" i="1" s="1"/>
  <c r="K668" i="1"/>
  <c r="L668" i="1" s="1"/>
  <c r="K669" i="1"/>
  <c r="L669" i="1" s="1"/>
  <c r="K670" i="1"/>
  <c r="L670" i="1" s="1"/>
  <c r="K671" i="1"/>
  <c r="L671" i="1" s="1"/>
  <c r="K672" i="1"/>
  <c r="L672" i="1" s="1"/>
  <c r="K673" i="1"/>
  <c r="L673" i="1" s="1"/>
  <c r="K674" i="1"/>
  <c r="L674" i="1" s="1"/>
  <c r="K675" i="1"/>
  <c r="L675" i="1" s="1"/>
  <c r="K676" i="1"/>
  <c r="L676" i="1" s="1"/>
  <c r="K677" i="1"/>
  <c r="L677" i="1" s="1"/>
  <c r="K678" i="1"/>
  <c r="L678" i="1" s="1"/>
  <c r="K679" i="1"/>
  <c r="L679" i="1" s="1"/>
  <c r="K680" i="1"/>
  <c r="L680" i="1" s="1"/>
  <c r="K681" i="1"/>
  <c r="L681" i="1" s="1"/>
  <c r="K682" i="1"/>
  <c r="L682" i="1" s="1"/>
  <c r="K683" i="1"/>
  <c r="L683" i="1" s="1"/>
  <c r="K684" i="1"/>
  <c r="L684" i="1" s="1"/>
  <c r="K685" i="1"/>
  <c r="L685" i="1" s="1"/>
  <c r="K686" i="1"/>
  <c r="L686" i="1" s="1"/>
  <c r="K687" i="1"/>
  <c r="L687" i="1" s="1"/>
  <c r="K688" i="1"/>
  <c r="L688" i="1" s="1"/>
  <c r="K689" i="1"/>
  <c r="L689" i="1" s="1"/>
  <c r="K690" i="1"/>
  <c r="L690" i="1" s="1"/>
  <c r="K691" i="1"/>
  <c r="L691" i="1" s="1"/>
  <c r="K692" i="1"/>
  <c r="L692" i="1" s="1"/>
  <c r="K693" i="1"/>
  <c r="L693" i="1" s="1"/>
  <c r="K694" i="1"/>
  <c r="L694" i="1" s="1"/>
  <c r="K695" i="1"/>
  <c r="L695" i="1" s="1"/>
  <c r="K696" i="1"/>
  <c r="L696" i="1" s="1"/>
  <c r="K697" i="1"/>
  <c r="L697" i="1" s="1"/>
  <c r="K698" i="1"/>
  <c r="L698" i="1" s="1"/>
  <c r="K699" i="1"/>
  <c r="L699" i="1" s="1"/>
  <c r="K700" i="1"/>
  <c r="L700" i="1" s="1"/>
  <c r="K701" i="1"/>
  <c r="L701" i="1" s="1"/>
  <c r="K702" i="1"/>
  <c r="L702" i="1" s="1"/>
  <c r="K703" i="1"/>
  <c r="L703" i="1" s="1"/>
  <c r="K704" i="1"/>
  <c r="L704" i="1" s="1"/>
  <c r="K705" i="1"/>
  <c r="L705" i="1" s="1"/>
  <c r="K706" i="1"/>
  <c r="L706" i="1" s="1"/>
  <c r="K707" i="1"/>
  <c r="L707" i="1" s="1"/>
  <c r="K708" i="1"/>
  <c r="L708" i="1" s="1"/>
  <c r="K709" i="1"/>
  <c r="L709" i="1" s="1"/>
  <c r="K710" i="1"/>
  <c r="L710" i="1" s="1"/>
  <c r="K711" i="1"/>
  <c r="L711" i="1" s="1"/>
  <c r="K712" i="1"/>
  <c r="L712" i="1" s="1"/>
  <c r="K713" i="1"/>
  <c r="L713" i="1" s="1"/>
  <c r="K714" i="1"/>
  <c r="L714" i="1" s="1"/>
  <c r="K715" i="1"/>
  <c r="L715" i="1" s="1"/>
  <c r="K716" i="1"/>
  <c r="L716" i="1" s="1"/>
  <c r="K717" i="1"/>
  <c r="L717" i="1" s="1"/>
  <c r="K718" i="1"/>
  <c r="L718" i="1" s="1"/>
  <c r="K719" i="1"/>
  <c r="L719" i="1" s="1"/>
  <c r="K720" i="1"/>
  <c r="L720" i="1" s="1"/>
  <c r="K721" i="1"/>
  <c r="L721" i="1" s="1"/>
  <c r="K722" i="1"/>
  <c r="L722" i="1" s="1"/>
  <c r="K723" i="1"/>
  <c r="L723" i="1" s="1"/>
  <c r="K724" i="1"/>
  <c r="L724" i="1" s="1"/>
  <c r="K725" i="1"/>
  <c r="L725" i="1" s="1"/>
  <c r="K726" i="1"/>
  <c r="L726" i="1" s="1"/>
  <c r="K727" i="1"/>
  <c r="L727" i="1" s="1"/>
  <c r="K728" i="1"/>
  <c r="L728" i="1" s="1"/>
  <c r="K729" i="1"/>
  <c r="L729" i="1" s="1"/>
  <c r="K730" i="1"/>
  <c r="L730" i="1" s="1"/>
  <c r="K731" i="1"/>
  <c r="L731" i="1" s="1"/>
  <c r="K732" i="1"/>
  <c r="L732" i="1" s="1"/>
  <c r="K733" i="1"/>
  <c r="L733" i="1" s="1"/>
  <c r="K734" i="1"/>
  <c r="L734" i="1" s="1"/>
  <c r="K735" i="1"/>
  <c r="L735" i="1" s="1"/>
  <c r="K736" i="1"/>
  <c r="L736" i="1" s="1"/>
  <c r="K737" i="1"/>
  <c r="L737" i="1" s="1"/>
  <c r="K738" i="1"/>
  <c r="L738" i="1" s="1"/>
  <c r="K739" i="1"/>
  <c r="L739" i="1" s="1"/>
  <c r="K740" i="1"/>
  <c r="L740" i="1" s="1"/>
  <c r="K741" i="1"/>
  <c r="L741" i="1" s="1"/>
  <c r="K742" i="1"/>
  <c r="L742" i="1" s="1"/>
  <c r="K743" i="1"/>
  <c r="L743" i="1" s="1"/>
  <c r="K744" i="1"/>
  <c r="L744" i="1" s="1"/>
  <c r="K745" i="1"/>
  <c r="L745" i="1" s="1"/>
  <c r="K746" i="1"/>
  <c r="L746" i="1" s="1"/>
  <c r="K747" i="1"/>
  <c r="L747" i="1" s="1"/>
  <c r="K748" i="1"/>
  <c r="L748" i="1" s="1"/>
  <c r="K749" i="1"/>
  <c r="L749" i="1" s="1"/>
  <c r="K750" i="1"/>
  <c r="L750" i="1" s="1"/>
  <c r="K751" i="1"/>
  <c r="L751" i="1" s="1"/>
  <c r="K752" i="1"/>
  <c r="L752" i="1" s="1"/>
  <c r="K753" i="1"/>
  <c r="L753" i="1" s="1"/>
  <c r="K754" i="1"/>
  <c r="L754" i="1" s="1"/>
  <c r="K755" i="1"/>
  <c r="L755" i="1" s="1"/>
  <c r="K756" i="1"/>
  <c r="L756" i="1" s="1"/>
  <c r="K757" i="1"/>
  <c r="L757" i="1" s="1"/>
  <c r="K758" i="1"/>
  <c r="L758" i="1" s="1"/>
  <c r="K759" i="1"/>
  <c r="L759" i="1" s="1"/>
  <c r="K760" i="1"/>
  <c r="L760" i="1" s="1"/>
  <c r="K761" i="1"/>
  <c r="L761" i="1" s="1"/>
  <c r="K762" i="1"/>
  <c r="L762" i="1" s="1"/>
  <c r="K763" i="1"/>
  <c r="L763" i="1" s="1"/>
  <c r="K764" i="1"/>
  <c r="L764" i="1" s="1"/>
  <c r="K765" i="1"/>
  <c r="L765" i="1" s="1"/>
  <c r="K766" i="1"/>
  <c r="L766" i="1" s="1"/>
  <c r="K767" i="1"/>
  <c r="L767" i="1" s="1"/>
  <c r="K768" i="1"/>
  <c r="L768" i="1" s="1"/>
  <c r="K769" i="1"/>
  <c r="L769" i="1" s="1"/>
  <c r="K770" i="1"/>
  <c r="L770" i="1" s="1"/>
  <c r="K771" i="1"/>
  <c r="L771" i="1" s="1"/>
  <c r="K772" i="1"/>
  <c r="L772" i="1" s="1"/>
  <c r="K773" i="1"/>
  <c r="L773" i="1" s="1"/>
  <c r="K774" i="1"/>
  <c r="L774" i="1" s="1"/>
  <c r="K775" i="1"/>
  <c r="L775" i="1" s="1"/>
  <c r="K776" i="1"/>
  <c r="L776" i="1" s="1"/>
  <c r="K777" i="1"/>
  <c r="L777" i="1" s="1"/>
  <c r="K778" i="1"/>
  <c r="L778" i="1" s="1"/>
  <c r="K779" i="1"/>
  <c r="L779" i="1" s="1"/>
  <c r="K780" i="1"/>
  <c r="L780" i="1" s="1"/>
  <c r="K781" i="1"/>
  <c r="L781" i="1" s="1"/>
  <c r="K782" i="1"/>
  <c r="L782" i="1" s="1"/>
  <c r="K783" i="1"/>
  <c r="L783" i="1" s="1"/>
  <c r="K784" i="1"/>
  <c r="L784" i="1" s="1"/>
  <c r="K785" i="1"/>
  <c r="L785" i="1" s="1"/>
  <c r="K786" i="1"/>
  <c r="L786" i="1" s="1"/>
  <c r="K787" i="1"/>
  <c r="L787" i="1" s="1"/>
  <c r="K788" i="1"/>
  <c r="L788" i="1" s="1"/>
  <c r="K789" i="1"/>
  <c r="L789" i="1" s="1"/>
  <c r="K790" i="1"/>
  <c r="L790" i="1" s="1"/>
  <c r="K791" i="1"/>
  <c r="L791" i="1" s="1"/>
  <c r="K792" i="1"/>
  <c r="L792" i="1" s="1"/>
  <c r="K793" i="1"/>
  <c r="L793" i="1" s="1"/>
  <c r="K794" i="1"/>
  <c r="L794" i="1" s="1"/>
  <c r="K795" i="1"/>
  <c r="L795" i="1" s="1"/>
  <c r="K796" i="1"/>
  <c r="L796" i="1" s="1"/>
  <c r="K797" i="1"/>
  <c r="L797" i="1" s="1"/>
  <c r="K798" i="1"/>
  <c r="L798" i="1" s="1"/>
  <c r="K799" i="1"/>
  <c r="L799" i="1" s="1"/>
  <c r="K800" i="1"/>
  <c r="L800" i="1" s="1"/>
  <c r="K801" i="1"/>
  <c r="L801" i="1" s="1"/>
  <c r="K802" i="1"/>
  <c r="L802" i="1" s="1"/>
  <c r="K803" i="1"/>
  <c r="L803" i="1" s="1"/>
  <c r="K804" i="1"/>
  <c r="L804" i="1" s="1"/>
  <c r="K805" i="1"/>
  <c r="L805" i="1" s="1"/>
  <c r="K806" i="1"/>
  <c r="L806" i="1" s="1"/>
  <c r="K807" i="1"/>
  <c r="L807" i="1" s="1"/>
  <c r="K808" i="1"/>
  <c r="L808" i="1" s="1"/>
  <c r="K809" i="1"/>
  <c r="L809" i="1" s="1"/>
  <c r="K810" i="1"/>
  <c r="L810" i="1" s="1"/>
  <c r="K811" i="1"/>
  <c r="L811" i="1" s="1"/>
  <c r="K812" i="1"/>
  <c r="L812" i="1" s="1"/>
  <c r="K813" i="1"/>
  <c r="L813" i="1" s="1"/>
  <c r="K814" i="1"/>
  <c r="L814" i="1" s="1"/>
  <c r="K815" i="1"/>
  <c r="L815" i="1" s="1"/>
  <c r="K816" i="1"/>
  <c r="L816" i="1" s="1"/>
  <c r="K817" i="1"/>
  <c r="L817" i="1" s="1"/>
  <c r="K818" i="1"/>
  <c r="L818" i="1" s="1"/>
  <c r="K819" i="1"/>
  <c r="L819" i="1" s="1"/>
  <c r="K820" i="1"/>
  <c r="L820" i="1" s="1"/>
  <c r="K821" i="1"/>
  <c r="L821" i="1" s="1"/>
  <c r="K822" i="1"/>
  <c r="L822" i="1" s="1"/>
  <c r="K823" i="1"/>
  <c r="L823" i="1" s="1"/>
  <c r="K824" i="1"/>
  <c r="L824" i="1" s="1"/>
  <c r="K825" i="1"/>
  <c r="L825" i="1" s="1"/>
  <c r="K826" i="1"/>
  <c r="L826" i="1" s="1"/>
  <c r="K827" i="1"/>
  <c r="L827" i="1" s="1"/>
  <c r="K828" i="1"/>
  <c r="L828" i="1" s="1"/>
  <c r="K829" i="1"/>
  <c r="L829" i="1" s="1"/>
  <c r="K830" i="1"/>
  <c r="L830" i="1" s="1"/>
  <c r="K831" i="1"/>
  <c r="L831" i="1" s="1"/>
  <c r="K832" i="1"/>
  <c r="L832" i="1" s="1"/>
  <c r="K833" i="1"/>
  <c r="L833" i="1" s="1"/>
  <c r="K834" i="1"/>
  <c r="L834" i="1" s="1"/>
  <c r="K835" i="1"/>
  <c r="L835" i="1" s="1"/>
  <c r="K836" i="1"/>
  <c r="L836" i="1" s="1"/>
  <c r="K837" i="1"/>
  <c r="L837" i="1" s="1"/>
  <c r="K838" i="1"/>
  <c r="L838" i="1" s="1"/>
  <c r="K839" i="1"/>
  <c r="L839" i="1" s="1"/>
  <c r="K840" i="1"/>
  <c r="L840" i="1" s="1"/>
  <c r="K841" i="1"/>
  <c r="L841" i="1" s="1"/>
  <c r="K842" i="1"/>
  <c r="L842" i="1" s="1"/>
  <c r="K843" i="1"/>
  <c r="L843" i="1" s="1"/>
  <c r="K844" i="1"/>
  <c r="L844" i="1" s="1"/>
  <c r="K845" i="1"/>
  <c r="L845" i="1" s="1"/>
  <c r="K846" i="1"/>
  <c r="L846" i="1" s="1"/>
  <c r="K847" i="1"/>
  <c r="L847" i="1" s="1"/>
  <c r="K848" i="1"/>
  <c r="L848" i="1" s="1"/>
  <c r="K849" i="1"/>
  <c r="L849" i="1" s="1"/>
  <c r="K850" i="1"/>
  <c r="L850" i="1" s="1"/>
  <c r="K851" i="1"/>
  <c r="L851" i="1" s="1"/>
  <c r="K852" i="1"/>
  <c r="L852" i="1" s="1"/>
  <c r="K853" i="1"/>
  <c r="L853" i="1" s="1"/>
  <c r="K854" i="1"/>
  <c r="L854" i="1" s="1"/>
  <c r="K855" i="1"/>
  <c r="L855" i="1" s="1"/>
  <c r="K856" i="1"/>
  <c r="L856" i="1" s="1"/>
  <c r="K857" i="1"/>
  <c r="L857" i="1" s="1"/>
  <c r="K858" i="1"/>
  <c r="L858" i="1" s="1"/>
  <c r="K859" i="1"/>
  <c r="L859" i="1" s="1"/>
  <c r="K860" i="1"/>
  <c r="L860" i="1" s="1"/>
  <c r="K861" i="1"/>
  <c r="L861" i="1" s="1"/>
  <c r="K862" i="1"/>
  <c r="L862" i="1" s="1"/>
  <c r="K863" i="1"/>
  <c r="L863" i="1" s="1"/>
  <c r="K864" i="1"/>
  <c r="L864" i="1" s="1"/>
  <c r="K865" i="1"/>
  <c r="L865" i="1" s="1"/>
  <c r="K866" i="1"/>
  <c r="L866" i="1" s="1"/>
  <c r="K867" i="1"/>
  <c r="L867" i="1" s="1"/>
  <c r="K868" i="1"/>
  <c r="L868" i="1" s="1"/>
  <c r="K869" i="1"/>
  <c r="L869" i="1" s="1"/>
  <c r="K870" i="1"/>
  <c r="L870" i="1" s="1"/>
  <c r="K871" i="1"/>
  <c r="L871" i="1" s="1"/>
  <c r="K872" i="1"/>
  <c r="L872" i="1" s="1"/>
  <c r="K873" i="1"/>
  <c r="L873" i="1" s="1"/>
  <c r="K874" i="1"/>
  <c r="L874" i="1" s="1"/>
  <c r="K875" i="1"/>
  <c r="L875" i="1" s="1"/>
  <c r="K876" i="1"/>
  <c r="L876" i="1" s="1"/>
  <c r="K877" i="1"/>
  <c r="L877" i="1" s="1"/>
  <c r="K878" i="1"/>
  <c r="L878" i="1" s="1"/>
  <c r="K879" i="1"/>
  <c r="L879" i="1" s="1"/>
  <c r="K880" i="1"/>
  <c r="L880" i="1" s="1"/>
  <c r="K881" i="1"/>
  <c r="L881" i="1" s="1"/>
  <c r="K882" i="1"/>
  <c r="L882" i="1" s="1"/>
  <c r="K883" i="1"/>
  <c r="L883" i="1" s="1"/>
  <c r="K884" i="1"/>
  <c r="L884" i="1" s="1"/>
  <c r="K885" i="1"/>
  <c r="L885" i="1" s="1"/>
  <c r="K886" i="1"/>
  <c r="L886" i="1" s="1"/>
  <c r="K887" i="1"/>
  <c r="L887" i="1" s="1"/>
  <c r="K888" i="1"/>
  <c r="L888" i="1" s="1"/>
  <c r="K889" i="1"/>
  <c r="L889" i="1" s="1"/>
  <c r="K890" i="1"/>
  <c r="L890" i="1" s="1"/>
  <c r="K891" i="1"/>
  <c r="L891" i="1" s="1"/>
  <c r="K892" i="1"/>
  <c r="L892" i="1" s="1"/>
  <c r="K893" i="1"/>
  <c r="L893" i="1" s="1"/>
  <c r="K894" i="1"/>
  <c r="L894" i="1" s="1"/>
  <c r="K895" i="1"/>
  <c r="L895" i="1" s="1"/>
  <c r="K896" i="1"/>
  <c r="L896" i="1" s="1"/>
  <c r="K897" i="1"/>
  <c r="L897" i="1" s="1"/>
  <c r="K898" i="1"/>
  <c r="L898" i="1" s="1"/>
  <c r="K899" i="1"/>
  <c r="L899" i="1" s="1"/>
  <c r="K900" i="1"/>
  <c r="L900" i="1" s="1"/>
  <c r="K901" i="1"/>
  <c r="L901" i="1" s="1"/>
  <c r="K902" i="1"/>
  <c r="L902" i="1" s="1"/>
  <c r="K903" i="1"/>
  <c r="L903" i="1" s="1"/>
  <c r="K904" i="1"/>
  <c r="L904" i="1" s="1"/>
  <c r="K905" i="1"/>
  <c r="L905" i="1" s="1"/>
  <c r="K906" i="1"/>
  <c r="L906" i="1" s="1"/>
  <c r="K907" i="1"/>
  <c r="L907" i="1" s="1"/>
  <c r="K908" i="1"/>
  <c r="L908" i="1" s="1"/>
  <c r="K909" i="1"/>
  <c r="L909" i="1" s="1"/>
  <c r="K910" i="1"/>
  <c r="L910" i="1" s="1"/>
  <c r="K911" i="1"/>
  <c r="L911" i="1" s="1"/>
  <c r="K912" i="1"/>
  <c r="L912" i="1" s="1"/>
  <c r="K913" i="1"/>
  <c r="L913" i="1" s="1"/>
  <c r="K914" i="1"/>
  <c r="L914" i="1" s="1"/>
  <c r="K915" i="1"/>
  <c r="L915" i="1" s="1"/>
  <c r="K916" i="1"/>
  <c r="L916" i="1" s="1"/>
  <c r="K917" i="1"/>
  <c r="L917" i="1" s="1"/>
  <c r="K918" i="1"/>
  <c r="L918" i="1" s="1"/>
  <c r="K919" i="1"/>
  <c r="L919" i="1" s="1"/>
  <c r="K920" i="1"/>
  <c r="L920" i="1" s="1"/>
  <c r="K921" i="1"/>
  <c r="L921" i="1" s="1"/>
  <c r="K922" i="1"/>
  <c r="L922" i="1" s="1"/>
  <c r="K923" i="1"/>
  <c r="L923" i="1" s="1"/>
  <c r="K924" i="1"/>
  <c r="L924" i="1" s="1"/>
  <c r="K925" i="1"/>
  <c r="L925" i="1" s="1"/>
  <c r="K926" i="1"/>
  <c r="L926" i="1" s="1"/>
  <c r="K927" i="1"/>
  <c r="L927" i="1" s="1"/>
  <c r="K928" i="1"/>
  <c r="L928" i="1" s="1"/>
  <c r="K929" i="1"/>
  <c r="L929" i="1" s="1"/>
  <c r="K930" i="1"/>
  <c r="L930" i="1" s="1"/>
  <c r="K931" i="1"/>
  <c r="L931" i="1" s="1"/>
  <c r="K932" i="1"/>
  <c r="L932" i="1" s="1"/>
  <c r="K933" i="1"/>
  <c r="L933" i="1" s="1"/>
  <c r="K934" i="1"/>
  <c r="L934" i="1" s="1"/>
  <c r="K935" i="1"/>
  <c r="L935" i="1" s="1"/>
  <c r="K936" i="1"/>
  <c r="L936" i="1" s="1"/>
  <c r="K937" i="1"/>
  <c r="L937" i="1" s="1"/>
  <c r="K938" i="1"/>
  <c r="L938" i="1" s="1"/>
  <c r="K939" i="1"/>
  <c r="L939" i="1" s="1"/>
  <c r="K940" i="1"/>
  <c r="L940" i="1" s="1"/>
  <c r="K941" i="1"/>
  <c r="L941" i="1" s="1"/>
  <c r="K942" i="1"/>
  <c r="L942" i="1" s="1"/>
  <c r="K943" i="1"/>
  <c r="L943" i="1" s="1"/>
  <c r="K944" i="1"/>
  <c r="L944" i="1" s="1"/>
  <c r="K945" i="1"/>
  <c r="L945" i="1" s="1"/>
  <c r="K946" i="1"/>
  <c r="L946" i="1" s="1"/>
  <c r="K947" i="1"/>
  <c r="L947" i="1" s="1"/>
  <c r="K948" i="1"/>
  <c r="L948" i="1" s="1"/>
  <c r="K949" i="1"/>
  <c r="L949" i="1" s="1"/>
  <c r="K950" i="1"/>
  <c r="L950" i="1" s="1"/>
  <c r="K951" i="1"/>
  <c r="L951" i="1" s="1"/>
  <c r="K952" i="1"/>
  <c r="L952" i="1" s="1"/>
  <c r="K953" i="1"/>
  <c r="L953" i="1" s="1"/>
  <c r="K954" i="1"/>
  <c r="L954" i="1" s="1"/>
  <c r="K955" i="1"/>
  <c r="L955" i="1" s="1"/>
  <c r="K956" i="1"/>
  <c r="L956" i="1" s="1"/>
  <c r="K957" i="1"/>
  <c r="L957" i="1" s="1"/>
  <c r="K958" i="1"/>
  <c r="L958" i="1" s="1"/>
  <c r="K959" i="1"/>
  <c r="L959" i="1" s="1"/>
  <c r="K960" i="1"/>
  <c r="L960" i="1" s="1"/>
  <c r="K961" i="1"/>
  <c r="L961" i="1" s="1"/>
  <c r="K962" i="1"/>
  <c r="L962" i="1" s="1"/>
  <c r="K963" i="1"/>
  <c r="L963" i="1" s="1"/>
  <c r="K964" i="1"/>
  <c r="L964" i="1" s="1"/>
  <c r="K965" i="1"/>
  <c r="L965" i="1" s="1"/>
  <c r="K966" i="1"/>
  <c r="L966" i="1" s="1"/>
  <c r="K967" i="1"/>
  <c r="L967" i="1" s="1"/>
  <c r="K968" i="1"/>
  <c r="L968" i="1" s="1"/>
  <c r="K969" i="1"/>
  <c r="L969" i="1" s="1"/>
  <c r="K970" i="1"/>
  <c r="L970" i="1" s="1"/>
  <c r="K971" i="1"/>
  <c r="L971" i="1" s="1"/>
  <c r="K972" i="1"/>
  <c r="L972" i="1" s="1"/>
  <c r="K973" i="1"/>
  <c r="L973" i="1" s="1"/>
  <c r="K974" i="1"/>
  <c r="L974" i="1" s="1"/>
  <c r="K975" i="1"/>
  <c r="L975" i="1" s="1"/>
  <c r="K976" i="1"/>
  <c r="L976" i="1" s="1"/>
  <c r="K977" i="1"/>
  <c r="L977" i="1" s="1"/>
  <c r="K978" i="1"/>
  <c r="L978" i="1" s="1"/>
  <c r="K979" i="1"/>
  <c r="L979" i="1" s="1"/>
  <c r="K980" i="1"/>
  <c r="L980" i="1" s="1"/>
  <c r="K981" i="1"/>
  <c r="L981" i="1" s="1"/>
  <c r="K982" i="1"/>
  <c r="L982" i="1" s="1"/>
  <c r="K983" i="1"/>
  <c r="L983" i="1" s="1"/>
  <c r="K984" i="1"/>
  <c r="L984" i="1" s="1"/>
  <c r="K985" i="1"/>
  <c r="L985" i="1" s="1"/>
  <c r="K986" i="1"/>
  <c r="L986" i="1" s="1"/>
  <c r="K987" i="1"/>
  <c r="L987" i="1" s="1"/>
  <c r="K988" i="1"/>
  <c r="L988" i="1" s="1"/>
  <c r="K989" i="1"/>
  <c r="L989" i="1" s="1"/>
  <c r="K990" i="1"/>
  <c r="L990" i="1" s="1"/>
  <c r="K991" i="1"/>
  <c r="L991" i="1" s="1"/>
  <c r="K992" i="1"/>
  <c r="L992" i="1" s="1"/>
  <c r="K993" i="1"/>
  <c r="L993" i="1" s="1"/>
  <c r="K994" i="1"/>
  <c r="L994" i="1" s="1"/>
  <c r="K995" i="1"/>
  <c r="L995" i="1" s="1"/>
  <c r="K996" i="1"/>
  <c r="L996" i="1" s="1"/>
  <c r="K997" i="1"/>
  <c r="L997" i="1" s="1"/>
  <c r="K998" i="1"/>
  <c r="L998" i="1" s="1"/>
  <c r="K999" i="1"/>
  <c r="L999" i="1" s="1"/>
  <c r="K1000" i="1"/>
  <c r="L1000" i="1" s="1"/>
  <c r="K1001" i="1"/>
  <c r="L1001" i="1" s="1"/>
  <c r="K1002" i="1"/>
  <c r="L1002" i="1" s="1"/>
  <c r="K1003" i="1"/>
  <c r="L1003" i="1" s="1"/>
  <c r="K1004" i="1"/>
  <c r="L1004" i="1" s="1"/>
  <c r="K1005" i="1"/>
  <c r="L1005" i="1" s="1"/>
  <c r="K1006" i="1"/>
  <c r="L1006" i="1" s="1"/>
  <c r="K1007" i="1"/>
  <c r="L1007" i="1" s="1"/>
  <c r="K1008" i="1"/>
  <c r="L1008" i="1" s="1"/>
  <c r="K1009" i="1"/>
  <c r="L1009" i="1" s="1"/>
  <c r="K1010" i="1"/>
  <c r="L1010" i="1" s="1"/>
  <c r="K1011" i="1"/>
  <c r="L1011" i="1" s="1"/>
  <c r="K1012" i="1"/>
  <c r="L1012" i="1" s="1"/>
  <c r="K1013" i="1"/>
  <c r="L1013" i="1" s="1"/>
  <c r="K1014" i="1"/>
  <c r="L1014" i="1" s="1"/>
  <c r="K1015" i="1"/>
  <c r="L1015" i="1" s="1"/>
  <c r="K1016" i="1"/>
  <c r="L1016" i="1" s="1"/>
  <c r="K1017" i="1"/>
  <c r="L1017" i="1" s="1"/>
  <c r="K1018" i="1"/>
  <c r="L1018" i="1" s="1"/>
  <c r="K1019" i="1"/>
  <c r="L1019" i="1" s="1"/>
  <c r="K1020" i="1"/>
  <c r="L1020" i="1" s="1"/>
  <c r="K1021" i="1"/>
  <c r="L1021" i="1" s="1"/>
  <c r="K1022" i="1"/>
  <c r="L1022" i="1" s="1"/>
  <c r="K1023" i="1"/>
  <c r="L1023" i="1" s="1"/>
  <c r="K1024" i="1"/>
  <c r="L1024" i="1" s="1"/>
  <c r="K1025" i="1"/>
  <c r="L1025" i="1" s="1"/>
  <c r="K1026" i="1"/>
  <c r="L1026" i="1" s="1"/>
  <c r="K1027" i="1"/>
  <c r="L1027" i="1" s="1"/>
  <c r="K1028" i="1"/>
  <c r="L1028" i="1" s="1"/>
  <c r="K1029" i="1"/>
  <c r="L1029" i="1" s="1"/>
  <c r="K1030" i="1"/>
  <c r="L1030" i="1" s="1"/>
  <c r="K1031" i="1"/>
  <c r="L1031" i="1" s="1"/>
  <c r="K1032" i="1"/>
  <c r="L1032" i="1" s="1"/>
  <c r="K1033" i="1"/>
  <c r="L1033" i="1" s="1"/>
  <c r="K1034" i="1"/>
  <c r="L1034" i="1" s="1"/>
  <c r="K1035" i="1"/>
  <c r="L1035" i="1" s="1"/>
  <c r="K1036" i="1"/>
  <c r="L1036" i="1" s="1"/>
  <c r="K1037" i="1"/>
  <c r="L1037" i="1" s="1"/>
  <c r="K1038" i="1"/>
  <c r="L1038" i="1" s="1"/>
  <c r="K1039" i="1"/>
  <c r="L1039" i="1" s="1"/>
  <c r="K1040" i="1"/>
  <c r="L1040" i="1" s="1"/>
  <c r="K1041" i="1"/>
  <c r="L1041" i="1" s="1"/>
  <c r="K1042" i="1"/>
  <c r="L1042" i="1" s="1"/>
  <c r="K1043" i="1"/>
  <c r="L1043" i="1" s="1"/>
  <c r="K1044" i="1"/>
  <c r="L1044" i="1" s="1"/>
  <c r="K1045" i="1"/>
  <c r="L1045" i="1" s="1"/>
  <c r="K1046" i="1"/>
  <c r="L1046" i="1" s="1"/>
  <c r="K1047" i="1"/>
  <c r="L1047" i="1" s="1"/>
  <c r="K1048" i="1"/>
  <c r="L1048" i="1" s="1"/>
  <c r="K1049" i="1"/>
  <c r="L1049" i="1" s="1"/>
  <c r="K1050" i="1"/>
  <c r="L1050" i="1" s="1"/>
  <c r="K1051" i="1"/>
  <c r="L1051" i="1" s="1"/>
  <c r="K1052" i="1"/>
  <c r="L1052" i="1" s="1"/>
  <c r="K1053" i="1"/>
  <c r="L1053" i="1" s="1"/>
  <c r="K1054" i="1"/>
  <c r="L1054" i="1" s="1"/>
  <c r="K1055" i="1"/>
  <c r="L1055" i="1" s="1"/>
  <c r="K1056" i="1"/>
  <c r="L1056" i="1" s="1"/>
  <c r="K1057" i="1"/>
  <c r="L1057" i="1" s="1"/>
  <c r="K1058" i="1"/>
  <c r="L1058" i="1" s="1"/>
  <c r="K1059" i="1"/>
  <c r="L1059" i="1" s="1"/>
  <c r="K1060" i="1"/>
  <c r="L1060" i="1" s="1"/>
  <c r="K1061" i="1"/>
  <c r="L1061" i="1" s="1"/>
  <c r="K1062" i="1"/>
  <c r="L1062" i="1" s="1"/>
  <c r="K1063" i="1"/>
  <c r="L1063" i="1" s="1"/>
  <c r="K1064" i="1"/>
  <c r="L1064" i="1" s="1"/>
  <c r="K1065" i="1"/>
  <c r="L1065" i="1" s="1"/>
  <c r="K1066" i="1"/>
  <c r="L1066" i="1" s="1"/>
  <c r="K1067" i="1"/>
  <c r="L1067" i="1" s="1"/>
  <c r="K1068" i="1"/>
  <c r="L1068" i="1" s="1"/>
  <c r="K1069" i="1"/>
  <c r="L1069" i="1" s="1"/>
  <c r="K1070" i="1"/>
  <c r="L1070" i="1" s="1"/>
  <c r="K1071" i="1"/>
  <c r="L1071" i="1" s="1"/>
  <c r="K1072" i="1"/>
  <c r="L1072" i="1" s="1"/>
  <c r="K1073" i="1"/>
  <c r="L1073" i="1" s="1"/>
  <c r="K1074" i="1"/>
  <c r="L1074" i="1" s="1"/>
  <c r="K1075" i="1"/>
  <c r="L1075" i="1" s="1"/>
  <c r="K1076" i="1"/>
  <c r="L1076" i="1" s="1"/>
  <c r="K1077" i="1"/>
  <c r="L1077" i="1" s="1"/>
  <c r="K1078" i="1"/>
  <c r="L1078" i="1" s="1"/>
  <c r="K1079" i="1"/>
  <c r="L1079" i="1" s="1"/>
  <c r="K1080" i="1"/>
  <c r="L1080" i="1" s="1"/>
  <c r="K1081" i="1"/>
  <c r="L1081" i="1" s="1"/>
  <c r="K1082" i="1"/>
  <c r="L1082" i="1" s="1"/>
  <c r="K1083" i="1"/>
  <c r="L1083" i="1" s="1"/>
  <c r="K1084" i="1"/>
  <c r="L1084" i="1" s="1"/>
  <c r="K1085" i="1"/>
  <c r="L1085" i="1" s="1"/>
  <c r="K1086" i="1"/>
  <c r="L1086" i="1" s="1"/>
  <c r="K1087" i="1"/>
  <c r="L1087" i="1" s="1"/>
  <c r="K1088" i="1"/>
  <c r="L1088" i="1" s="1"/>
  <c r="K1089" i="1"/>
  <c r="L1089" i="1" s="1"/>
  <c r="K1090" i="1"/>
  <c r="L1090" i="1" s="1"/>
  <c r="K1091" i="1"/>
  <c r="L1091" i="1" s="1"/>
  <c r="K1092" i="1"/>
  <c r="L1092" i="1" s="1"/>
  <c r="K1093" i="1"/>
  <c r="L1093" i="1" s="1"/>
  <c r="K1094" i="1"/>
  <c r="L1094" i="1" s="1"/>
  <c r="K1095" i="1"/>
  <c r="L1095" i="1" s="1"/>
  <c r="K1096" i="1"/>
  <c r="L1096" i="1" s="1"/>
  <c r="K1097" i="1"/>
  <c r="L1097" i="1" s="1"/>
  <c r="K1098" i="1"/>
  <c r="L1098" i="1" s="1"/>
  <c r="K1099" i="1"/>
  <c r="L1099" i="1" s="1"/>
  <c r="K1100" i="1"/>
  <c r="L1100" i="1" s="1"/>
  <c r="K1101" i="1"/>
  <c r="L1101" i="1" s="1"/>
  <c r="K1102" i="1"/>
  <c r="L1102" i="1" s="1"/>
  <c r="K1103" i="1"/>
  <c r="L1103" i="1" s="1"/>
  <c r="K1104" i="1"/>
  <c r="L1104" i="1" s="1"/>
  <c r="K1105" i="1"/>
  <c r="L1105" i="1" s="1"/>
  <c r="K1106" i="1"/>
  <c r="L1106" i="1" s="1"/>
  <c r="K1107" i="1"/>
  <c r="L1107" i="1" s="1"/>
  <c r="K1108" i="1"/>
  <c r="L1108" i="1" s="1"/>
  <c r="K1109" i="1"/>
  <c r="L1109" i="1" s="1"/>
  <c r="K1110" i="1"/>
  <c r="L1110" i="1" s="1"/>
  <c r="K1111" i="1"/>
  <c r="L1111" i="1" s="1"/>
  <c r="K1112" i="1"/>
  <c r="L1112" i="1" s="1"/>
  <c r="K1113" i="1"/>
  <c r="L1113" i="1" s="1"/>
  <c r="K1114" i="1"/>
  <c r="L1114" i="1" s="1"/>
  <c r="K1115" i="1"/>
  <c r="L1115" i="1" s="1"/>
  <c r="K1116" i="1"/>
  <c r="L1116" i="1" s="1"/>
  <c r="K1117" i="1"/>
  <c r="L1117" i="1" s="1"/>
  <c r="K1118" i="1"/>
  <c r="L1118" i="1" s="1"/>
  <c r="K1119" i="1"/>
  <c r="L1119" i="1" s="1"/>
  <c r="K1120" i="1"/>
  <c r="L1120" i="1" s="1"/>
  <c r="K1121" i="1"/>
  <c r="L1121" i="1" s="1"/>
  <c r="K1122" i="1"/>
  <c r="L1122" i="1" s="1"/>
  <c r="K1123" i="1"/>
  <c r="L1123" i="1" s="1"/>
  <c r="K1124" i="1"/>
  <c r="L1124" i="1" s="1"/>
  <c r="K1125" i="1"/>
  <c r="L1125" i="1" s="1"/>
  <c r="K1126" i="1"/>
  <c r="L1126" i="1" s="1"/>
  <c r="K1127" i="1"/>
  <c r="L1127" i="1" s="1"/>
  <c r="K1128" i="1"/>
  <c r="L1128" i="1" s="1"/>
  <c r="K1129" i="1"/>
  <c r="L1129" i="1" s="1"/>
  <c r="K1130" i="1"/>
  <c r="L1130" i="1" s="1"/>
  <c r="K1131" i="1"/>
  <c r="L1131" i="1" s="1"/>
  <c r="K1132" i="1"/>
  <c r="L1132" i="1" s="1"/>
  <c r="K1133" i="1"/>
  <c r="L1133" i="1" s="1"/>
  <c r="K1134" i="1"/>
  <c r="L1134" i="1" s="1"/>
  <c r="K1135" i="1"/>
  <c r="L1135" i="1" s="1"/>
  <c r="K1136" i="1"/>
  <c r="L1136" i="1" s="1"/>
  <c r="K1137" i="1"/>
  <c r="L1137" i="1" s="1"/>
  <c r="K1138" i="1"/>
  <c r="L1138" i="1" s="1"/>
  <c r="K1139" i="1"/>
  <c r="L1139" i="1" s="1"/>
  <c r="K1140" i="1"/>
  <c r="L1140" i="1" s="1"/>
  <c r="K1141" i="1"/>
  <c r="L1141" i="1" s="1"/>
  <c r="K1142" i="1"/>
  <c r="L1142" i="1" s="1"/>
  <c r="K1143" i="1"/>
  <c r="L1143" i="1" s="1"/>
  <c r="K1144" i="1"/>
  <c r="L1144" i="1" s="1"/>
  <c r="K1145" i="1"/>
  <c r="L1145" i="1" s="1"/>
  <c r="K1146" i="1"/>
  <c r="L1146" i="1" s="1"/>
  <c r="K1147" i="1"/>
  <c r="L1147" i="1" s="1"/>
  <c r="K1148" i="1"/>
  <c r="L1148" i="1" s="1"/>
  <c r="K1149" i="1"/>
  <c r="L1149" i="1" s="1"/>
  <c r="K1150" i="1"/>
  <c r="L1150" i="1" s="1"/>
  <c r="K1151" i="1"/>
  <c r="L1151" i="1" s="1"/>
  <c r="K1152" i="1"/>
  <c r="L1152" i="1" s="1"/>
  <c r="K1153" i="1"/>
  <c r="L1153" i="1" s="1"/>
  <c r="K1154" i="1"/>
  <c r="L1154" i="1" s="1"/>
  <c r="K1155" i="1"/>
  <c r="L1155" i="1" s="1"/>
  <c r="K1156" i="1"/>
  <c r="L1156" i="1" s="1"/>
  <c r="K1157" i="1"/>
  <c r="L1157" i="1" s="1"/>
  <c r="K1158" i="1"/>
  <c r="L1158" i="1" s="1"/>
  <c r="K1159" i="1"/>
  <c r="L1159" i="1" s="1"/>
  <c r="K1160" i="1"/>
  <c r="L1160" i="1" s="1"/>
  <c r="K1161" i="1"/>
  <c r="L1161" i="1" s="1"/>
  <c r="K1162" i="1"/>
  <c r="L1162" i="1" s="1"/>
  <c r="K1163" i="1"/>
  <c r="L1163" i="1" s="1"/>
  <c r="K1164" i="1"/>
  <c r="L1164" i="1" s="1"/>
  <c r="K1165" i="1"/>
  <c r="L1165" i="1" s="1"/>
  <c r="K1166" i="1"/>
  <c r="L1166" i="1" s="1"/>
  <c r="K1167" i="1"/>
  <c r="L1167" i="1" s="1"/>
  <c r="K1168" i="1"/>
  <c r="L1168" i="1" s="1"/>
  <c r="K1169" i="1"/>
  <c r="L1169" i="1" s="1"/>
  <c r="K1170" i="1"/>
  <c r="L1170" i="1" s="1"/>
  <c r="K1171" i="1"/>
  <c r="L1171" i="1" s="1"/>
  <c r="K1172" i="1"/>
  <c r="L1172" i="1" s="1"/>
  <c r="K1173" i="1"/>
  <c r="L1173" i="1" s="1"/>
  <c r="K1174" i="1"/>
  <c r="L1174" i="1" s="1"/>
  <c r="K1175" i="1"/>
  <c r="L1175" i="1" s="1"/>
  <c r="K1176" i="1"/>
  <c r="L1176" i="1" s="1"/>
  <c r="K1177" i="1"/>
  <c r="L1177" i="1" s="1"/>
  <c r="K1178" i="1"/>
  <c r="L1178" i="1" s="1"/>
  <c r="K1179" i="1"/>
  <c r="L1179" i="1" s="1"/>
  <c r="K1180" i="1"/>
  <c r="L1180" i="1" s="1"/>
  <c r="K1181" i="1"/>
  <c r="L1181" i="1" s="1"/>
  <c r="K1182" i="1"/>
  <c r="L1182" i="1" s="1"/>
  <c r="K1183" i="1"/>
  <c r="L1183" i="1" s="1"/>
  <c r="K1184" i="1"/>
  <c r="L1184" i="1" s="1"/>
  <c r="K1185" i="1"/>
  <c r="L1185" i="1" s="1"/>
  <c r="K1186" i="1"/>
  <c r="L1186" i="1" s="1"/>
  <c r="K1187" i="1"/>
  <c r="L1187" i="1" s="1"/>
  <c r="K1188" i="1"/>
  <c r="L1188" i="1" s="1"/>
  <c r="K1189" i="1"/>
  <c r="L1189" i="1" s="1"/>
  <c r="K1190" i="1"/>
  <c r="L1190" i="1" s="1"/>
  <c r="K1191" i="1"/>
  <c r="L1191" i="1" s="1"/>
  <c r="K1192" i="1"/>
  <c r="L1192" i="1" s="1"/>
  <c r="K1193" i="1"/>
  <c r="L1193" i="1" s="1"/>
  <c r="K1194" i="1"/>
  <c r="L1194" i="1" s="1"/>
  <c r="K1195" i="1"/>
  <c r="L1195" i="1" s="1"/>
  <c r="K1196" i="1"/>
  <c r="L1196" i="1" s="1"/>
  <c r="K1197" i="1"/>
  <c r="L1197" i="1" s="1"/>
  <c r="K1198" i="1"/>
  <c r="L1198" i="1" s="1"/>
  <c r="K1199" i="1"/>
  <c r="L1199" i="1" s="1"/>
  <c r="K1200" i="1"/>
  <c r="L1200" i="1" s="1"/>
  <c r="K1201" i="1"/>
  <c r="L1201" i="1" s="1"/>
  <c r="K1202" i="1"/>
  <c r="L1202" i="1" s="1"/>
  <c r="K1203" i="1"/>
  <c r="L1203" i="1" s="1"/>
  <c r="K1204" i="1"/>
  <c r="L1204" i="1" s="1"/>
  <c r="K1205" i="1"/>
  <c r="L1205" i="1" s="1"/>
  <c r="K1206" i="1"/>
  <c r="L1206" i="1" s="1"/>
  <c r="K1207" i="1"/>
  <c r="L1207" i="1" s="1"/>
  <c r="K1208" i="1"/>
  <c r="L1208" i="1" s="1"/>
  <c r="K1209" i="1"/>
  <c r="L1209" i="1" s="1"/>
  <c r="K1210" i="1"/>
  <c r="L1210" i="1" s="1"/>
  <c r="K1211" i="1"/>
  <c r="L1211" i="1" s="1"/>
  <c r="K1212" i="1"/>
  <c r="L1212" i="1" s="1"/>
  <c r="K1213" i="1"/>
  <c r="L1213" i="1" s="1"/>
  <c r="K1214" i="1"/>
  <c r="L1214" i="1" s="1"/>
  <c r="K1215" i="1"/>
  <c r="L1215" i="1" s="1"/>
  <c r="K1216" i="1"/>
  <c r="L1216" i="1" s="1"/>
  <c r="K1217" i="1"/>
  <c r="L1217" i="1" s="1"/>
  <c r="K1218" i="1"/>
  <c r="L1218" i="1" s="1"/>
  <c r="K1219" i="1"/>
  <c r="L1219" i="1" s="1"/>
  <c r="K1220" i="1"/>
  <c r="L1220" i="1" s="1"/>
  <c r="K1221" i="1"/>
  <c r="L1221" i="1" s="1"/>
  <c r="K1222" i="1"/>
  <c r="L1222" i="1" s="1"/>
  <c r="K1223" i="1"/>
  <c r="L1223" i="1" s="1"/>
  <c r="K1224" i="1"/>
  <c r="L1224" i="1" s="1"/>
  <c r="K1225" i="1"/>
  <c r="L1225" i="1" s="1"/>
  <c r="K1226" i="1"/>
  <c r="L1226" i="1" s="1"/>
  <c r="K1227" i="1"/>
  <c r="L1227" i="1" s="1"/>
  <c r="K1228" i="1"/>
  <c r="L1228" i="1" s="1"/>
  <c r="K1229" i="1"/>
  <c r="L1229" i="1" s="1"/>
  <c r="K1230" i="1"/>
  <c r="L1230" i="1" s="1"/>
  <c r="K1231" i="1"/>
  <c r="L1231" i="1" s="1"/>
  <c r="K1232" i="1"/>
  <c r="L1232" i="1" s="1"/>
  <c r="K1233" i="1"/>
  <c r="L1233" i="1" s="1"/>
  <c r="K1234" i="1"/>
  <c r="L1234" i="1" s="1"/>
  <c r="K1235" i="1"/>
  <c r="L1235" i="1" s="1"/>
  <c r="K1236" i="1"/>
  <c r="L1236" i="1" s="1"/>
  <c r="K1237" i="1"/>
  <c r="L1237" i="1" s="1"/>
  <c r="K1238" i="1"/>
  <c r="L1238" i="1" s="1"/>
  <c r="K1239" i="1"/>
  <c r="L1239" i="1" s="1"/>
  <c r="K1240" i="1"/>
  <c r="L1240" i="1" s="1"/>
  <c r="K1241" i="1"/>
  <c r="L1241" i="1" s="1"/>
  <c r="K1242" i="1"/>
  <c r="L1242" i="1" s="1"/>
  <c r="K1243" i="1"/>
  <c r="L1243" i="1" s="1"/>
  <c r="K1244" i="1"/>
  <c r="L1244" i="1" s="1"/>
  <c r="K1245" i="1"/>
  <c r="L1245" i="1" s="1"/>
  <c r="K1246" i="1"/>
  <c r="L1246" i="1" s="1"/>
  <c r="K1247" i="1"/>
  <c r="L1247" i="1" s="1"/>
  <c r="K1248" i="1"/>
  <c r="L1248" i="1" s="1"/>
  <c r="K1249" i="1"/>
  <c r="L1249" i="1" s="1"/>
  <c r="K1250" i="1"/>
  <c r="L1250" i="1" s="1"/>
  <c r="K1251" i="1"/>
  <c r="L1251" i="1" s="1"/>
  <c r="K1252" i="1"/>
  <c r="L1252" i="1" s="1"/>
  <c r="K1253" i="1"/>
  <c r="L1253" i="1" s="1"/>
  <c r="K1254" i="1"/>
  <c r="L1254" i="1" s="1"/>
  <c r="K1255" i="1"/>
  <c r="L1255" i="1" s="1"/>
  <c r="K1256" i="1"/>
  <c r="L1256" i="1" s="1"/>
  <c r="K1257" i="1"/>
  <c r="L1257" i="1" s="1"/>
  <c r="K1258" i="1"/>
  <c r="L1258" i="1" s="1"/>
  <c r="K1259" i="1"/>
  <c r="L1259" i="1" s="1"/>
  <c r="K1260" i="1"/>
  <c r="L1260" i="1" s="1"/>
  <c r="K1261" i="1"/>
  <c r="L1261" i="1" s="1"/>
  <c r="K1262" i="1"/>
  <c r="L1262" i="1" s="1"/>
  <c r="K1263" i="1"/>
  <c r="L1263" i="1" s="1"/>
  <c r="K1264" i="1"/>
  <c r="L1264" i="1" s="1"/>
  <c r="K1265" i="1"/>
  <c r="L1265" i="1" s="1"/>
  <c r="K1266" i="1"/>
  <c r="L1266" i="1" s="1"/>
  <c r="K1267" i="1"/>
  <c r="L1267" i="1" s="1"/>
  <c r="K1268" i="1"/>
  <c r="L1268" i="1" s="1"/>
  <c r="K1269" i="1"/>
  <c r="L1269" i="1" s="1"/>
  <c r="K1270" i="1"/>
  <c r="L1270" i="1" s="1"/>
  <c r="K1271" i="1"/>
  <c r="L1271" i="1" s="1"/>
  <c r="K1272" i="1"/>
  <c r="L1272" i="1" s="1"/>
  <c r="K1273" i="1"/>
  <c r="L1273" i="1" s="1"/>
  <c r="K1274" i="1"/>
  <c r="L1274" i="1" s="1"/>
  <c r="K1275" i="1"/>
  <c r="L1275" i="1" s="1"/>
  <c r="K1276" i="1"/>
  <c r="L1276" i="1" s="1"/>
  <c r="K1277" i="1"/>
  <c r="L1277" i="1" s="1"/>
  <c r="K1278" i="1"/>
  <c r="L1278" i="1" s="1"/>
  <c r="K1279" i="1"/>
  <c r="L1279" i="1" s="1"/>
  <c r="K1280" i="1"/>
  <c r="L1280" i="1" s="1"/>
  <c r="K1281" i="1"/>
  <c r="L1281" i="1" s="1"/>
  <c r="K1282" i="1"/>
  <c r="L1282" i="1" s="1"/>
  <c r="K1283" i="1"/>
  <c r="L1283" i="1" s="1"/>
  <c r="K1284" i="1"/>
  <c r="L1284" i="1" s="1"/>
  <c r="K1285" i="1"/>
  <c r="L1285" i="1" s="1"/>
  <c r="K1286" i="1"/>
  <c r="L1286" i="1" s="1"/>
  <c r="K1287" i="1"/>
  <c r="L1287" i="1" s="1"/>
  <c r="K1288" i="1"/>
  <c r="L1288" i="1" s="1"/>
  <c r="K1289" i="1"/>
  <c r="L1289" i="1" s="1"/>
  <c r="K1290" i="1"/>
  <c r="L1290" i="1" s="1"/>
  <c r="K1291" i="1"/>
  <c r="L1291" i="1" s="1"/>
  <c r="K1292" i="1"/>
  <c r="L1292" i="1" s="1"/>
  <c r="K1293" i="1"/>
  <c r="L1293" i="1" s="1"/>
  <c r="K1294" i="1"/>
  <c r="L1294" i="1" s="1"/>
  <c r="K1295" i="1"/>
  <c r="L1295" i="1" s="1"/>
  <c r="K1296" i="1"/>
  <c r="L1296" i="1" s="1"/>
  <c r="K1297" i="1"/>
  <c r="L1297" i="1" s="1"/>
  <c r="K1298" i="1"/>
  <c r="L1298" i="1" s="1"/>
  <c r="K1299" i="1"/>
  <c r="L1299" i="1" s="1"/>
  <c r="K1300" i="1"/>
  <c r="L1300" i="1" s="1"/>
  <c r="K1301" i="1"/>
  <c r="L1301" i="1" s="1"/>
  <c r="K1302" i="1"/>
  <c r="L1302" i="1" s="1"/>
  <c r="K1303" i="1"/>
  <c r="L1303" i="1" s="1"/>
  <c r="K1304" i="1"/>
  <c r="L1304" i="1" s="1"/>
  <c r="K1305" i="1"/>
  <c r="L1305" i="1" s="1"/>
  <c r="K1306" i="1"/>
  <c r="L1306" i="1" s="1"/>
  <c r="K1307" i="1"/>
  <c r="L1307" i="1" s="1"/>
  <c r="K1308" i="1"/>
  <c r="L1308" i="1" s="1"/>
  <c r="K1309" i="1"/>
  <c r="L1309" i="1" s="1"/>
  <c r="K1310" i="1"/>
  <c r="L1310" i="1" s="1"/>
  <c r="K1311" i="1"/>
  <c r="L1311" i="1" s="1"/>
  <c r="K1312" i="1"/>
  <c r="L1312" i="1" s="1"/>
  <c r="K1313" i="1"/>
  <c r="L1313" i="1" s="1"/>
  <c r="K1314" i="1"/>
  <c r="L1314" i="1" s="1"/>
  <c r="K1315" i="1"/>
  <c r="L1315" i="1" s="1"/>
  <c r="K1316" i="1"/>
  <c r="L1316" i="1" s="1"/>
  <c r="K1317" i="1"/>
  <c r="L1317" i="1" s="1"/>
  <c r="K1318" i="1"/>
  <c r="L1318" i="1" s="1"/>
  <c r="K1319" i="1"/>
  <c r="L1319" i="1" s="1"/>
  <c r="K1320" i="1"/>
  <c r="L1320" i="1" s="1"/>
  <c r="K1321" i="1"/>
  <c r="L1321" i="1" s="1"/>
  <c r="K1322" i="1"/>
  <c r="L1322" i="1" s="1"/>
  <c r="K1323" i="1"/>
  <c r="L1323" i="1" s="1"/>
  <c r="K1324" i="1"/>
  <c r="L1324" i="1" s="1"/>
  <c r="K1325" i="1"/>
  <c r="L1325" i="1" s="1"/>
  <c r="K1326" i="1"/>
  <c r="L1326" i="1" s="1"/>
  <c r="K1327" i="1"/>
  <c r="L1327" i="1" s="1"/>
  <c r="K1328" i="1"/>
  <c r="L1328" i="1" s="1"/>
  <c r="K1329" i="1"/>
  <c r="L1329" i="1" s="1"/>
  <c r="K1330" i="1"/>
  <c r="L1330" i="1" s="1"/>
  <c r="K1331" i="1"/>
  <c r="L1331" i="1" s="1"/>
  <c r="K1332" i="1"/>
  <c r="L1332" i="1" s="1"/>
  <c r="K1333" i="1"/>
  <c r="L1333" i="1" s="1"/>
  <c r="K1334" i="1"/>
  <c r="L1334" i="1" s="1"/>
  <c r="K1335" i="1"/>
  <c r="L1335" i="1" s="1"/>
  <c r="K1336" i="1"/>
  <c r="L1336" i="1" s="1"/>
  <c r="K1337" i="1"/>
  <c r="L1337" i="1" s="1"/>
  <c r="K1338" i="1"/>
  <c r="L1338" i="1" s="1"/>
  <c r="K1339" i="1"/>
  <c r="L1339" i="1" s="1"/>
  <c r="K1340" i="1"/>
  <c r="L1340" i="1" s="1"/>
  <c r="K1341" i="1"/>
  <c r="L1341" i="1" s="1"/>
  <c r="K1342" i="1"/>
  <c r="L1342" i="1" s="1"/>
  <c r="K1343" i="1"/>
  <c r="L1343" i="1" s="1"/>
  <c r="K1344" i="1"/>
  <c r="L1344" i="1" s="1"/>
  <c r="K1345" i="1"/>
  <c r="L1345" i="1" s="1"/>
  <c r="K1346" i="1"/>
  <c r="L1346" i="1" s="1"/>
  <c r="K1347" i="1"/>
  <c r="L1347" i="1" s="1"/>
  <c r="K1348" i="1"/>
  <c r="L1348" i="1" s="1"/>
  <c r="K1349" i="1"/>
  <c r="L1349" i="1" s="1"/>
  <c r="K1350" i="1"/>
  <c r="L1350" i="1" s="1"/>
  <c r="K1351" i="1"/>
  <c r="L1351" i="1" s="1"/>
  <c r="K1352" i="1"/>
  <c r="L1352" i="1" s="1"/>
  <c r="K1353" i="1"/>
  <c r="L1353" i="1" s="1"/>
  <c r="K1354" i="1"/>
  <c r="L1354" i="1" s="1"/>
  <c r="K1355" i="1"/>
  <c r="L1355" i="1" s="1"/>
  <c r="K1356" i="1"/>
  <c r="L1356" i="1" s="1"/>
  <c r="K1357" i="1"/>
  <c r="L1357" i="1" s="1"/>
  <c r="K1358" i="1"/>
  <c r="L1358" i="1" s="1"/>
  <c r="K1359" i="1"/>
  <c r="L1359" i="1" s="1"/>
  <c r="K1360" i="1"/>
  <c r="L1360" i="1" s="1"/>
  <c r="K1361" i="1"/>
  <c r="L1361" i="1" s="1"/>
  <c r="K1362" i="1"/>
  <c r="L1362" i="1" s="1"/>
  <c r="K1363" i="1"/>
  <c r="L1363" i="1" s="1"/>
  <c r="K1364" i="1"/>
  <c r="L1364" i="1" s="1"/>
  <c r="K1365" i="1"/>
  <c r="L1365" i="1" s="1"/>
  <c r="K1366" i="1"/>
  <c r="L1366" i="1" s="1"/>
  <c r="K1367" i="1"/>
  <c r="L1367" i="1" s="1"/>
  <c r="K1368" i="1"/>
  <c r="L1368" i="1" s="1"/>
  <c r="K1369" i="1"/>
  <c r="L1369" i="1" s="1"/>
  <c r="K1370" i="1"/>
  <c r="L1370" i="1" s="1"/>
  <c r="K1371" i="1"/>
  <c r="L1371" i="1" s="1"/>
  <c r="K1372" i="1"/>
  <c r="L1372" i="1" s="1"/>
  <c r="K1373" i="1"/>
  <c r="L1373" i="1" s="1"/>
  <c r="K1374" i="1"/>
  <c r="L1374" i="1" s="1"/>
  <c r="K1375" i="1"/>
  <c r="L1375" i="1" s="1"/>
  <c r="K1376" i="1"/>
  <c r="L1376" i="1" s="1"/>
  <c r="K1377" i="1"/>
  <c r="L1377" i="1" s="1"/>
  <c r="K1378" i="1"/>
  <c r="L1378" i="1" s="1"/>
  <c r="K1379" i="1"/>
  <c r="L1379" i="1" s="1"/>
  <c r="K1380" i="1"/>
  <c r="L1380" i="1" s="1"/>
  <c r="K1381" i="1"/>
  <c r="L1381" i="1" s="1"/>
  <c r="K1382" i="1"/>
  <c r="L1382" i="1" s="1"/>
  <c r="K1383" i="1"/>
  <c r="L1383" i="1" s="1"/>
  <c r="K1384" i="1"/>
  <c r="L1384" i="1" s="1"/>
  <c r="K1385" i="1"/>
  <c r="L1385" i="1" s="1"/>
  <c r="K1386" i="1"/>
  <c r="L1386" i="1" s="1"/>
  <c r="K1387" i="1"/>
  <c r="L1387" i="1" s="1"/>
  <c r="K1388" i="1"/>
  <c r="L1388" i="1" s="1"/>
  <c r="K1389" i="1"/>
  <c r="L1389" i="1" s="1"/>
  <c r="K1390" i="1"/>
  <c r="L1390" i="1" s="1"/>
  <c r="K1391" i="1"/>
  <c r="L1391" i="1" s="1"/>
  <c r="K1392" i="1"/>
  <c r="L1392" i="1" s="1"/>
  <c r="K1393" i="1"/>
  <c r="L1393" i="1" s="1"/>
  <c r="K1394" i="1"/>
  <c r="L1394" i="1" s="1"/>
  <c r="K1395" i="1"/>
  <c r="L1395" i="1" s="1"/>
  <c r="K1396" i="1"/>
  <c r="L1396" i="1" s="1"/>
  <c r="K1397" i="1"/>
  <c r="L1397" i="1" s="1"/>
  <c r="K1398" i="1"/>
  <c r="L1398" i="1" s="1"/>
  <c r="K1399" i="1"/>
  <c r="L1399" i="1" s="1"/>
  <c r="K1400" i="1"/>
  <c r="L1400" i="1" s="1"/>
  <c r="K1401" i="1"/>
  <c r="L1401" i="1" s="1"/>
  <c r="K1402" i="1"/>
  <c r="L1402" i="1" s="1"/>
  <c r="K1403" i="1"/>
  <c r="L1403" i="1" s="1"/>
  <c r="K1404" i="1"/>
  <c r="L1404" i="1" s="1"/>
  <c r="K1405" i="1"/>
  <c r="L1405" i="1" s="1"/>
  <c r="K1406" i="1"/>
  <c r="L1406" i="1" s="1"/>
  <c r="K1407" i="1"/>
  <c r="L1407" i="1" s="1"/>
  <c r="K1408" i="1"/>
  <c r="L1408" i="1" s="1"/>
  <c r="K1409" i="1"/>
  <c r="L1409" i="1" s="1"/>
  <c r="K1410" i="1"/>
  <c r="L1410" i="1" s="1"/>
  <c r="K1411" i="1"/>
  <c r="L1411" i="1" s="1"/>
  <c r="K1412" i="1"/>
  <c r="L1412" i="1" s="1"/>
  <c r="K1413" i="1"/>
  <c r="L1413" i="1" s="1"/>
  <c r="K1414" i="1"/>
  <c r="L1414" i="1" s="1"/>
  <c r="K1415" i="1"/>
  <c r="L1415" i="1" s="1"/>
  <c r="K1416" i="1"/>
  <c r="L1416" i="1" s="1"/>
  <c r="K1417" i="1"/>
  <c r="L1417" i="1" s="1"/>
  <c r="K1418" i="1"/>
  <c r="L1418" i="1" s="1"/>
  <c r="K1419" i="1"/>
  <c r="L1419" i="1" s="1"/>
  <c r="K1420" i="1"/>
  <c r="L1420" i="1" s="1"/>
  <c r="K1421" i="1"/>
  <c r="L1421" i="1" s="1"/>
  <c r="K1422" i="1"/>
  <c r="L1422" i="1" s="1"/>
  <c r="K1423" i="1"/>
  <c r="L1423" i="1" s="1"/>
  <c r="K1424" i="1"/>
  <c r="L1424" i="1" s="1"/>
  <c r="K1425" i="1"/>
  <c r="L1425" i="1" s="1"/>
  <c r="K1426" i="1"/>
  <c r="L1426" i="1" s="1"/>
  <c r="K1427" i="1"/>
  <c r="L1427" i="1" s="1"/>
  <c r="K1428" i="1"/>
  <c r="L1428" i="1" s="1"/>
  <c r="K1429" i="1"/>
  <c r="L1429" i="1" s="1"/>
  <c r="K1430" i="1"/>
  <c r="L1430" i="1" s="1"/>
  <c r="K1431" i="1"/>
  <c r="L1431" i="1" s="1"/>
  <c r="K1432" i="1"/>
  <c r="L1432" i="1" s="1"/>
  <c r="K1433" i="1"/>
  <c r="L1433" i="1" s="1"/>
  <c r="K1434" i="1"/>
  <c r="L1434" i="1" s="1"/>
  <c r="K1435" i="1"/>
  <c r="L1435" i="1" s="1"/>
  <c r="K1436" i="1"/>
  <c r="L1436" i="1" s="1"/>
  <c r="K1437" i="1"/>
  <c r="L1437" i="1" s="1"/>
  <c r="K1438" i="1"/>
  <c r="L1438" i="1" s="1"/>
  <c r="K1439" i="1"/>
  <c r="L1439" i="1" s="1"/>
  <c r="K1440" i="1"/>
  <c r="L1440" i="1" s="1"/>
  <c r="K1441" i="1"/>
  <c r="L1441" i="1" s="1"/>
  <c r="K1442" i="1"/>
  <c r="L1442" i="1" s="1"/>
  <c r="K1443" i="1"/>
  <c r="L1443" i="1" s="1"/>
  <c r="K1444" i="1"/>
  <c r="L1444" i="1" s="1"/>
  <c r="K1445" i="1"/>
  <c r="L1445" i="1" s="1"/>
  <c r="K1446" i="1"/>
  <c r="L1446" i="1" s="1"/>
  <c r="K1447" i="1"/>
  <c r="L1447" i="1" s="1"/>
  <c r="K1448" i="1"/>
  <c r="L1448" i="1" s="1"/>
  <c r="K1449" i="1"/>
  <c r="L1449" i="1" s="1"/>
  <c r="K1450" i="1"/>
  <c r="L1450" i="1" s="1"/>
  <c r="K1451" i="1"/>
  <c r="L1451" i="1" s="1"/>
  <c r="K1452" i="1"/>
  <c r="L1452" i="1" s="1"/>
  <c r="K1453" i="1"/>
  <c r="L1453" i="1" s="1"/>
  <c r="K1454" i="1"/>
  <c r="L1454" i="1" s="1"/>
  <c r="K1455" i="1"/>
  <c r="L1455" i="1" s="1"/>
  <c r="K1456" i="1"/>
  <c r="L1456" i="1" s="1"/>
  <c r="K1457" i="1"/>
  <c r="L1457" i="1" s="1"/>
  <c r="K1458" i="1"/>
  <c r="L1458" i="1" s="1"/>
  <c r="K1459" i="1"/>
  <c r="L1459" i="1" s="1"/>
  <c r="K1460" i="1"/>
  <c r="L1460" i="1" s="1"/>
  <c r="K1461" i="1"/>
  <c r="L1461" i="1" s="1"/>
  <c r="K1462" i="1"/>
  <c r="L1462" i="1" s="1"/>
  <c r="K1463" i="1"/>
  <c r="L1463" i="1" s="1"/>
  <c r="K1464" i="1"/>
  <c r="L1464" i="1" s="1"/>
  <c r="K1465" i="1"/>
  <c r="L1465" i="1" s="1"/>
  <c r="K1466" i="1"/>
  <c r="L1466" i="1" s="1"/>
  <c r="K1467" i="1"/>
  <c r="L1467" i="1" s="1"/>
  <c r="K1468" i="1"/>
  <c r="L1468" i="1" s="1"/>
  <c r="K1469" i="1"/>
  <c r="L1469" i="1" s="1"/>
  <c r="K1470" i="1"/>
  <c r="L1470" i="1" s="1"/>
  <c r="K1471" i="1"/>
  <c r="L1471" i="1" s="1"/>
  <c r="K1472" i="1"/>
  <c r="L1472" i="1" s="1"/>
  <c r="K1473" i="1"/>
  <c r="L1473" i="1" s="1"/>
  <c r="K1474" i="1"/>
  <c r="L1474" i="1" s="1"/>
  <c r="K1475" i="1"/>
  <c r="L1475" i="1" s="1"/>
  <c r="K1476" i="1"/>
  <c r="L1476" i="1" s="1"/>
  <c r="K1477" i="1"/>
  <c r="L1477" i="1" s="1"/>
  <c r="K1478" i="1"/>
  <c r="L1478" i="1" s="1"/>
  <c r="K1479" i="1"/>
  <c r="L1479" i="1" s="1"/>
  <c r="K1480" i="1"/>
  <c r="L1480" i="1" s="1"/>
  <c r="K1481" i="1"/>
  <c r="L1481" i="1" s="1"/>
  <c r="K1482" i="1"/>
  <c r="L1482" i="1" s="1"/>
  <c r="K1483" i="1"/>
  <c r="L1483" i="1" s="1"/>
  <c r="K1484" i="1"/>
  <c r="L1484" i="1" s="1"/>
  <c r="K1485" i="1"/>
  <c r="L1485" i="1" s="1"/>
  <c r="K1486" i="1"/>
  <c r="L1486" i="1" s="1"/>
  <c r="K1487" i="1"/>
  <c r="L1487" i="1" s="1"/>
  <c r="K1488" i="1"/>
  <c r="L1488" i="1" s="1"/>
  <c r="K1489" i="1"/>
  <c r="L1489" i="1" s="1"/>
  <c r="K1490" i="1"/>
  <c r="L1490" i="1" s="1"/>
  <c r="K1491" i="1"/>
  <c r="L1491" i="1" s="1"/>
  <c r="K1492" i="1"/>
  <c r="L1492" i="1" s="1"/>
  <c r="K1493" i="1"/>
  <c r="L1493" i="1" s="1"/>
  <c r="K1494" i="1"/>
  <c r="L1494" i="1" s="1"/>
  <c r="K1495" i="1"/>
  <c r="L1495" i="1" s="1"/>
  <c r="K1496" i="1"/>
  <c r="L1496" i="1" s="1"/>
  <c r="K1497" i="1"/>
  <c r="L1497" i="1" s="1"/>
  <c r="K1498" i="1"/>
  <c r="L1498" i="1" s="1"/>
  <c r="K1499" i="1"/>
  <c r="L1499" i="1" s="1"/>
  <c r="K1500" i="1"/>
  <c r="L1500" i="1" s="1"/>
  <c r="K1501" i="1"/>
  <c r="L1501" i="1" s="1"/>
  <c r="K1502" i="1"/>
  <c r="L1502" i="1" s="1"/>
  <c r="K1503" i="1"/>
  <c r="L1503" i="1" s="1"/>
  <c r="K1504" i="1"/>
  <c r="L1504" i="1" s="1"/>
  <c r="K1505" i="1"/>
  <c r="L1505" i="1" s="1"/>
  <c r="K1506" i="1"/>
  <c r="L1506" i="1" s="1"/>
  <c r="K1507" i="1"/>
  <c r="L1507" i="1" s="1"/>
  <c r="K1508" i="1"/>
  <c r="L1508" i="1" s="1"/>
  <c r="K1509" i="1"/>
  <c r="L1509" i="1" s="1"/>
  <c r="K1510" i="1"/>
  <c r="L1510" i="1" s="1"/>
  <c r="K1511" i="1"/>
  <c r="L1511" i="1" s="1"/>
  <c r="K1512" i="1"/>
  <c r="L1512" i="1" s="1"/>
  <c r="K1513" i="1"/>
  <c r="L1513" i="1" s="1"/>
  <c r="K1514" i="1"/>
  <c r="L1514" i="1" s="1"/>
  <c r="K1515" i="1"/>
  <c r="L1515" i="1" s="1"/>
  <c r="K1516" i="1"/>
  <c r="L1516" i="1" s="1"/>
  <c r="K1517" i="1"/>
  <c r="L1517" i="1" s="1"/>
  <c r="K1518" i="1"/>
  <c r="L1518" i="1" s="1"/>
  <c r="K1519" i="1"/>
  <c r="L1519" i="1" s="1"/>
  <c r="K1520" i="1"/>
  <c r="L1520" i="1" s="1"/>
  <c r="K1521" i="1"/>
  <c r="L1521" i="1" s="1"/>
  <c r="K1522" i="1"/>
  <c r="L1522" i="1" s="1"/>
  <c r="K1523" i="1"/>
  <c r="L1523" i="1" s="1"/>
  <c r="K1524" i="1"/>
  <c r="L1524" i="1" s="1"/>
  <c r="K1525" i="1"/>
  <c r="L1525" i="1" s="1"/>
  <c r="K1526" i="1"/>
  <c r="L1526" i="1" s="1"/>
  <c r="K1527" i="1"/>
  <c r="L1527" i="1" s="1"/>
  <c r="K1528" i="1"/>
  <c r="L1528" i="1" s="1"/>
  <c r="K1529" i="1"/>
  <c r="L1529" i="1" s="1"/>
  <c r="K1530" i="1"/>
  <c r="L1530" i="1" s="1"/>
  <c r="K1531" i="1"/>
  <c r="L1531" i="1" s="1"/>
  <c r="K1532" i="1"/>
  <c r="L1532" i="1" s="1"/>
  <c r="K1533" i="1"/>
  <c r="L1533" i="1" s="1"/>
  <c r="K1534" i="1"/>
  <c r="L1534" i="1" s="1"/>
  <c r="K1535" i="1"/>
  <c r="L1535" i="1" s="1"/>
  <c r="K1536" i="1"/>
  <c r="L1536" i="1" s="1"/>
  <c r="K1537" i="1"/>
  <c r="L1537" i="1" s="1"/>
  <c r="K1538" i="1"/>
  <c r="L1538" i="1" s="1"/>
  <c r="K1539" i="1"/>
  <c r="L1539" i="1" s="1"/>
  <c r="K1540" i="1"/>
  <c r="L1540" i="1" s="1"/>
  <c r="K1541" i="1"/>
  <c r="L1541" i="1" s="1"/>
  <c r="K1542" i="1"/>
  <c r="L1542" i="1" s="1"/>
  <c r="K1543" i="1"/>
  <c r="L1543" i="1" s="1"/>
  <c r="K1544" i="1"/>
  <c r="L1544" i="1" s="1"/>
  <c r="K1545" i="1"/>
  <c r="L1545" i="1" s="1"/>
  <c r="K1546" i="1"/>
  <c r="L1546" i="1" s="1"/>
  <c r="K1547" i="1"/>
  <c r="L1547" i="1" s="1"/>
  <c r="K1548" i="1"/>
  <c r="L1548" i="1" s="1"/>
  <c r="K1549" i="1"/>
  <c r="L1549" i="1" s="1"/>
  <c r="K1550" i="1"/>
  <c r="L1550" i="1" s="1"/>
  <c r="K1551" i="1"/>
  <c r="L1551" i="1" s="1"/>
  <c r="K1552" i="1"/>
  <c r="L1552" i="1" s="1"/>
  <c r="K1553" i="1"/>
  <c r="L1553" i="1" s="1"/>
  <c r="K1554" i="1"/>
  <c r="L1554" i="1" s="1"/>
  <c r="K1555" i="1"/>
  <c r="L1555" i="1" s="1"/>
  <c r="K1556" i="1"/>
  <c r="L1556" i="1" s="1"/>
  <c r="K1557" i="1"/>
  <c r="L1557" i="1" s="1"/>
  <c r="K1558" i="1"/>
  <c r="L1558" i="1" s="1"/>
  <c r="K1559" i="1"/>
  <c r="L1559" i="1" s="1"/>
  <c r="K1560" i="1"/>
  <c r="L1560" i="1" s="1"/>
  <c r="K1561" i="1"/>
  <c r="L1561" i="1" s="1"/>
  <c r="K1562" i="1"/>
  <c r="L1562" i="1" s="1"/>
  <c r="K1563" i="1"/>
  <c r="L1563" i="1" s="1"/>
  <c r="K1564" i="1"/>
  <c r="L1564" i="1" s="1"/>
  <c r="K1565" i="1"/>
  <c r="L1565" i="1" s="1"/>
  <c r="K1566" i="1"/>
  <c r="L1566" i="1" s="1"/>
  <c r="K1567" i="1"/>
  <c r="L1567" i="1" s="1"/>
  <c r="K1568" i="1"/>
  <c r="L1568" i="1" s="1"/>
  <c r="K1569" i="1"/>
  <c r="L1569" i="1" s="1"/>
  <c r="K1570" i="1"/>
  <c r="L1570" i="1" s="1"/>
  <c r="K1571" i="1"/>
  <c r="L1571" i="1" s="1"/>
  <c r="K1572" i="1"/>
  <c r="L1572" i="1" s="1"/>
  <c r="K1573" i="1"/>
  <c r="L1573" i="1" s="1"/>
  <c r="K1574" i="1"/>
  <c r="L1574" i="1" s="1"/>
  <c r="K1575" i="1"/>
  <c r="L1575" i="1" s="1"/>
  <c r="K1576" i="1"/>
  <c r="L1576" i="1" s="1"/>
  <c r="K1577" i="1"/>
  <c r="L1577" i="1" s="1"/>
  <c r="K1578" i="1"/>
  <c r="L1578" i="1" s="1"/>
  <c r="K1579" i="1"/>
  <c r="L1579" i="1" s="1"/>
  <c r="K1580" i="1"/>
  <c r="L1580" i="1" s="1"/>
  <c r="K1581" i="1"/>
  <c r="L1581" i="1" s="1"/>
  <c r="K1582" i="1"/>
  <c r="L1582" i="1" s="1"/>
  <c r="K1583" i="1"/>
  <c r="L1583" i="1" s="1"/>
  <c r="K1584" i="1"/>
  <c r="L1584" i="1" s="1"/>
  <c r="K1585" i="1"/>
  <c r="L1585" i="1" s="1"/>
  <c r="K1586" i="1"/>
  <c r="L1586" i="1" s="1"/>
  <c r="K1587" i="1"/>
  <c r="L1587" i="1" s="1"/>
  <c r="K1588" i="1"/>
  <c r="L1588" i="1" s="1"/>
  <c r="K1589" i="1"/>
  <c r="L1589" i="1" s="1"/>
  <c r="K1590" i="1"/>
  <c r="L1590" i="1" s="1"/>
  <c r="K1591" i="1"/>
  <c r="L1591" i="1" s="1"/>
  <c r="K1592" i="1"/>
  <c r="L1592" i="1" s="1"/>
  <c r="K1593" i="1"/>
  <c r="L1593" i="1" s="1"/>
  <c r="K1594" i="1"/>
  <c r="L1594" i="1" s="1"/>
  <c r="K1595" i="1"/>
  <c r="L1595" i="1" s="1"/>
  <c r="K1596" i="1"/>
  <c r="L1596" i="1" s="1"/>
  <c r="K1597" i="1"/>
  <c r="L1597" i="1" s="1"/>
  <c r="K1598" i="1"/>
  <c r="L1598" i="1" s="1"/>
  <c r="K1599" i="1"/>
  <c r="L1599" i="1" s="1"/>
  <c r="K1600" i="1"/>
  <c r="L1600" i="1" s="1"/>
  <c r="K1601" i="1"/>
  <c r="L1601" i="1" s="1"/>
  <c r="K1602" i="1"/>
  <c r="L1602" i="1" s="1"/>
  <c r="K1603" i="1"/>
  <c r="L1603" i="1" s="1"/>
  <c r="K1604" i="1"/>
  <c r="L1604" i="1" s="1"/>
  <c r="K1605" i="1"/>
  <c r="L1605" i="1" s="1"/>
  <c r="K1606" i="1"/>
  <c r="L1606" i="1" s="1"/>
  <c r="K1607" i="1"/>
  <c r="L1607" i="1" s="1"/>
  <c r="K1608" i="1"/>
  <c r="L1608" i="1" s="1"/>
  <c r="K1609" i="1"/>
  <c r="L1609" i="1" s="1"/>
  <c r="K1610" i="1"/>
  <c r="L1610" i="1" s="1"/>
  <c r="K1611" i="1"/>
  <c r="L1611" i="1" s="1"/>
  <c r="K1612" i="1"/>
  <c r="L1612" i="1" s="1"/>
  <c r="K1613" i="1"/>
  <c r="L1613" i="1" s="1"/>
  <c r="K1614" i="1"/>
  <c r="L1614" i="1" s="1"/>
  <c r="K1615" i="1"/>
  <c r="L1615" i="1" s="1"/>
  <c r="K1616" i="1"/>
  <c r="L1616" i="1" s="1"/>
  <c r="K1617" i="1"/>
  <c r="L1617" i="1" s="1"/>
  <c r="K1618" i="1"/>
  <c r="L1618" i="1" s="1"/>
  <c r="K1619" i="1"/>
  <c r="L1619" i="1" s="1"/>
  <c r="K1620" i="1"/>
  <c r="L1620" i="1" s="1"/>
  <c r="K1621" i="1"/>
  <c r="L1621" i="1" s="1"/>
  <c r="K1622" i="1"/>
  <c r="L1622" i="1" s="1"/>
  <c r="K1623" i="1"/>
  <c r="L1623" i="1" s="1"/>
  <c r="K1624" i="1"/>
  <c r="L1624" i="1" s="1"/>
  <c r="K1625" i="1"/>
  <c r="L1625" i="1" s="1"/>
  <c r="K1626" i="1"/>
  <c r="L1626" i="1" s="1"/>
  <c r="K1627" i="1"/>
  <c r="L1627" i="1" s="1"/>
  <c r="K1628" i="1"/>
  <c r="L1628" i="1" s="1"/>
  <c r="K1629" i="1"/>
  <c r="L1629" i="1" s="1"/>
  <c r="K1630" i="1"/>
  <c r="L1630" i="1" s="1"/>
  <c r="K1631" i="1"/>
  <c r="L1631" i="1" s="1"/>
  <c r="K1632" i="1"/>
  <c r="L1632" i="1" s="1"/>
  <c r="Z3" i="3" l="1"/>
</calcChain>
</file>

<file path=xl/sharedStrings.xml><?xml version="1.0" encoding="utf-8"?>
<sst xmlns="http://schemas.openxmlformats.org/spreadsheetml/2006/main" count="9850" uniqueCount="1690">
  <si>
    <t>OrderID</t>
  </si>
  <si>
    <t>Date</t>
  </si>
  <si>
    <t>Region</t>
  </si>
  <si>
    <t>Product</t>
  </si>
  <si>
    <t>Category</t>
  </si>
  <si>
    <t>Customer</t>
  </si>
  <si>
    <t>Sales</t>
  </si>
  <si>
    <t>Quantity</t>
  </si>
  <si>
    <t>Discount</t>
  </si>
  <si>
    <t>PaymentMode</t>
  </si>
  <si>
    <t>ORD1</t>
  </si>
  <si>
    <t>Electronics</t>
  </si>
  <si>
    <t>Ravi</t>
  </si>
  <si>
    <t>Card</t>
  </si>
  <si>
    <t>ORD2</t>
  </si>
  <si>
    <t>North</t>
  </si>
  <si>
    <t>Headphones</t>
  </si>
  <si>
    <t>Accessories</t>
  </si>
  <si>
    <t>ORD3</t>
  </si>
  <si>
    <t>East</t>
  </si>
  <si>
    <t>Laptop</t>
  </si>
  <si>
    <t>Sneha</t>
  </si>
  <si>
    <t>Cash</t>
  </si>
  <si>
    <t>ORD4</t>
  </si>
  <si>
    <t>West</t>
  </si>
  <si>
    <t>UPI</t>
  </si>
  <si>
    <t>ORD5</t>
  </si>
  <si>
    <t>Phone</t>
  </si>
  <si>
    <t>ORD6</t>
  </si>
  <si>
    <t>Anjali</t>
  </si>
  <si>
    <t>ORD7</t>
  </si>
  <si>
    <t>South</t>
  </si>
  <si>
    <t>ORD8</t>
  </si>
  <si>
    <t>ORD9</t>
  </si>
  <si>
    <t>Rahul</t>
  </si>
  <si>
    <t>ORD10</t>
  </si>
  <si>
    <t>ORD11</t>
  </si>
  <si>
    <t>Monitor</t>
  </si>
  <si>
    <t>Amit</t>
  </si>
  <si>
    <t>ORD13</t>
  </si>
  <si>
    <t>ORD14</t>
  </si>
  <si>
    <t>ORD17</t>
  </si>
  <si>
    <t>ORD18</t>
  </si>
  <si>
    <t>ORD19</t>
  </si>
  <si>
    <t>Kiran</t>
  </si>
  <si>
    <t>ORD21</t>
  </si>
  <si>
    <t>Tablet</t>
  </si>
  <si>
    <t>ORD22</t>
  </si>
  <si>
    <t>Priya</t>
  </si>
  <si>
    <t>ORD23</t>
  </si>
  <si>
    <t>ORD24</t>
  </si>
  <si>
    <t>ORD25</t>
  </si>
  <si>
    <t>ORD26</t>
  </si>
  <si>
    <t>ORD27</t>
  </si>
  <si>
    <t>ORD29</t>
  </si>
  <si>
    <t>ORD30</t>
  </si>
  <si>
    <t>ORD31</t>
  </si>
  <si>
    <t>ORD32</t>
  </si>
  <si>
    <t>ORD33</t>
  </si>
  <si>
    <t>ORD34</t>
  </si>
  <si>
    <t>ORD35</t>
  </si>
  <si>
    <t>ORD36</t>
  </si>
  <si>
    <t>ORD37</t>
  </si>
  <si>
    <t>ORD38</t>
  </si>
  <si>
    <t>ORD39</t>
  </si>
  <si>
    <t>ORD40</t>
  </si>
  <si>
    <t>ORD41</t>
  </si>
  <si>
    <t>ORD42</t>
  </si>
  <si>
    <t>ORD43</t>
  </si>
  <si>
    <t>ORD45</t>
  </si>
  <si>
    <t>ORD46</t>
  </si>
  <si>
    <t>ORD47</t>
  </si>
  <si>
    <t>ORD48</t>
  </si>
  <si>
    <t>ORD49</t>
  </si>
  <si>
    <t>ORD50</t>
  </si>
  <si>
    <t>ORD51</t>
  </si>
  <si>
    <t>ORD54</t>
  </si>
  <si>
    <t>ORD55</t>
  </si>
  <si>
    <t>ORD56</t>
  </si>
  <si>
    <t>ORD57</t>
  </si>
  <si>
    <t>ORD58</t>
  </si>
  <si>
    <t>ORD60</t>
  </si>
  <si>
    <t>ORD61</t>
  </si>
  <si>
    <t>ORD62</t>
  </si>
  <si>
    <t>ORD64</t>
  </si>
  <si>
    <t>ORD65</t>
  </si>
  <si>
    <t>ORD66</t>
  </si>
  <si>
    <t>ORD67</t>
  </si>
  <si>
    <t>ORD68</t>
  </si>
  <si>
    <t>ORD69</t>
  </si>
  <si>
    <t>ORD70</t>
  </si>
  <si>
    <t>ORD73</t>
  </si>
  <si>
    <t>ORD74</t>
  </si>
  <si>
    <t>ORD75</t>
  </si>
  <si>
    <t>ORD78</t>
  </si>
  <si>
    <t>ORD79</t>
  </si>
  <si>
    <t>ORD80</t>
  </si>
  <si>
    <t>ORD83</t>
  </si>
  <si>
    <t>ORD85</t>
  </si>
  <si>
    <t>ORD87</t>
  </si>
  <si>
    <t>ORD88</t>
  </si>
  <si>
    <t>ORD89</t>
  </si>
  <si>
    <t>ORD90</t>
  </si>
  <si>
    <t>ORD91</t>
  </si>
  <si>
    <t>ORD92</t>
  </si>
  <si>
    <t>ORD94</t>
  </si>
  <si>
    <t>ORD95</t>
  </si>
  <si>
    <t>ORD96</t>
  </si>
  <si>
    <t>ORD97</t>
  </si>
  <si>
    <t>ORD98</t>
  </si>
  <si>
    <t>ORD99</t>
  </si>
  <si>
    <t>ORD101</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</si>
  <si>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</si>
  <si>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</si>
  <si>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</si>
  <si>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</si>
  <si>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</si>
  <si>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</si>
  <si>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</si>
  <si>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</si>
  <si>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</si>
  <si>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</si>
  <si>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</si>
  <si>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</si>
  <si>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</si>
  <si>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</si>
  <si>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</si>
  <si>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</si>
  <si>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</si>
  <si>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</si>
  <si>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</si>
  <si>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</si>
  <si>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</si>
  <si>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</si>
  <si>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</si>
  <si>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</si>
  <si>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</si>
  <si>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</si>
  <si>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</si>
  <si>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</si>
  <si>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</si>
  <si>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</si>
  <si>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</si>
  <si>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</si>
  <si>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</si>
  <si>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</si>
  <si>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</si>
  <si>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</si>
  <si>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</si>
  <si>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</si>
  <si>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</si>
  <si>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</si>
  <si>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</si>
  <si>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</si>
  <si>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</si>
  <si>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</si>
  <si>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</si>
  <si>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</si>
  <si>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</si>
  <si>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</si>
  <si>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ORD153</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</si>
  <si>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</si>
  <si>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</si>
  <si>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</si>
  <si>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</si>
  <si>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</si>
  <si>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</si>
  <si>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</si>
  <si>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</si>
  <si>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</si>
  <si>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</si>
  <si>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</si>
  <si>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</si>
  <si>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</si>
  <si>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</si>
  <si>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</si>
  <si>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</si>
  <si>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</si>
  <si>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</si>
  <si>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ORD175</t>
  </si>
  <si>
    <t>ORD176</t>
  </si>
  <si>
    <t>ORD177</t>
  </si>
  <si>
    <t>ORD178</t>
  </si>
  <si>
    <t>ORD179</t>
  </si>
  <si>
    <t>ORD180</t>
  </si>
  <si>
    <t>ORD181</t>
  </si>
  <si>
    <t>ORD182</t>
  </si>
  <si>
    <t>ORD183</t>
  </si>
  <si>
    <t>ORD185</t>
  </si>
  <si>
    <t>ORD186</t>
  </si>
  <si>
    <t>ORD187</t>
  </si>
  <si>
    <t>ORD188</t>
  </si>
  <si>
    <t>ORD189</t>
  </si>
  <si>
    <t>ORD190</t>
  </si>
  <si>
    <t>ORD192</t>
  </si>
  <si>
    <t>ORD193</t>
  </si>
  <si>
    <t>ORD194</t>
  </si>
  <si>
    <t>ORD195</t>
  </si>
  <si>
    <t>ORD196</t>
  </si>
  <si>
    <t>ORD197</t>
  </si>
  <si>
    <t>ORD198</t>
  </si>
  <si>
    <t>ORD199</t>
  </si>
  <si>
    <t>ORD200</t>
  </si>
  <si>
    <t>ORD201</t>
  </si>
  <si>
    <t>ORD202</t>
  </si>
  <si>
    <t>ORD203</t>
  </si>
  <si>
    <t>ORD204</t>
  </si>
  <si>
    <t>ORD205</t>
  </si>
  <si>
    <t>ORD206</t>
  </si>
  <si>
    <t>ORD207</t>
  </si>
  <si>
    <t>ORD209</t>
  </si>
  <si>
    <t>ORD210</t>
  </si>
  <si>
    <t>ORD211</t>
  </si>
  <si>
    <t>ORD212</t>
  </si>
  <si>
    <t>ORD213</t>
  </si>
  <si>
    <t>ORD214</t>
  </si>
  <si>
    <t>ORD216</t>
  </si>
  <si>
    <t>ORD217</t>
  </si>
  <si>
    <t>ORD218</t>
  </si>
  <si>
    <t>ORD219</t>
  </si>
  <si>
    <t>ORD220</t>
  </si>
  <si>
    <t>ORD222</t>
  </si>
  <si>
    <t>ORD224</t>
  </si>
  <si>
    <t>ORD225</t>
  </si>
  <si>
    <t>ORD226</t>
  </si>
  <si>
    <t>ORD228</t>
  </si>
  <si>
    <t>ORD229</t>
  </si>
  <si>
    <t>ORD230</t>
  </si>
  <si>
    <t>ORD232</t>
  </si>
  <si>
    <t>ORD234</t>
  </si>
  <si>
    <t>ORD236</t>
  </si>
  <si>
    <t>ORD237</t>
  </si>
  <si>
    <t>ORD238</t>
  </si>
  <si>
    <t>ORD239</t>
  </si>
  <si>
    <t>ORD240</t>
  </si>
  <si>
    <t>ORD242</t>
  </si>
  <si>
    <t>ORD243</t>
  </si>
  <si>
    <t>ORD244</t>
  </si>
  <si>
    <t>ORD245</t>
  </si>
  <si>
    <t>ORD246</t>
  </si>
  <si>
    <t>ORD247</t>
  </si>
  <si>
    <t>ORD248</t>
  </si>
  <si>
    <t>ORD249</t>
  </si>
  <si>
    <t>ORD250</t>
  </si>
  <si>
    <t>ORD251</t>
  </si>
  <si>
    <t>ORD252</t>
  </si>
  <si>
    <t>ORD253</t>
  </si>
  <si>
    <t>ORD254</t>
  </si>
  <si>
    <t>ORD256</t>
  </si>
  <si>
    <t>ORD257</t>
  </si>
  <si>
    <t>ORD258</t>
  </si>
  <si>
    <t>ORD259</t>
  </si>
  <si>
    <t>ORD260</t>
  </si>
  <si>
    <t>ORD262</t>
  </si>
  <si>
    <t>ORD263</t>
  </si>
  <si>
    <t>ORD266</t>
  </si>
  <si>
    <t>ORD267</t>
  </si>
  <si>
    <t>ORD269</t>
  </si>
  <si>
    <t>ORD270</t>
  </si>
  <si>
    <t>ORD271</t>
  </si>
  <si>
    <t>ORD272</t>
  </si>
  <si>
    <t>ORD273</t>
  </si>
  <si>
    <t>ORD274</t>
  </si>
  <si>
    <t>ORD275</t>
  </si>
  <si>
    <t>ORD277</t>
  </si>
  <si>
    <t>ORD278</t>
  </si>
  <si>
    <t>ORD279</t>
  </si>
  <si>
    <t>ORD280</t>
  </si>
  <si>
    <t>ORD281</t>
  </si>
  <si>
    <t>ORD282</t>
  </si>
  <si>
    <t>ORD283</t>
  </si>
  <si>
    <t>ORD284</t>
  </si>
  <si>
    <t>ORD285</t>
  </si>
  <si>
    <t>ORD288</t>
  </si>
  <si>
    <t>ORD289</t>
  </si>
  <si>
    <t>ORD290</t>
  </si>
  <si>
    <t>ORD291</t>
  </si>
  <si>
    <t>ORD294</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</si>
  <si>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</si>
  <si>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</si>
  <si>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</si>
  <si>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</si>
  <si>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</si>
  <si>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</si>
  <si>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</si>
  <si>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</si>
  <si>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</si>
  <si>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</si>
  <si>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</si>
  <si>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</si>
  <si>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</si>
  <si>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</si>
  <si>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</si>
  <si>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</si>
  <si>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</si>
  <si>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</si>
  <si>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</si>
  <si>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</si>
  <si>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</si>
  <si>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</si>
  <si>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</si>
  <si>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</si>
  <si>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</si>
  <si>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</si>
  <si>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</si>
  <si>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</si>
  <si>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</si>
  <si>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</si>
  <si>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</si>
  <si>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ORD329</t>
  </si>
  <si>
    <t>ORD330</t>
  </si>
  <si>
    <t>ORD331</t>
  </si>
  <si>
    <t>ORD333</t>
  </si>
  <si>
    <t>ORD334</t>
  </si>
  <si>
    <t>ORD336</t>
  </si>
  <si>
    <t>ORD337</t>
  </si>
  <si>
    <t>ORD339</t>
  </si>
  <si>
    <t>ORD340</t>
  </si>
  <si>
    <t>ORD341</t>
  </si>
  <si>
    <t>ORD342</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</si>
  <si>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</si>
  <si>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</si>
  <si>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</si>
  <si>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</si>
  <si>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</si>
  <si>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</si>
  <si>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</si>
  <si>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</si>
  <si>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</si>
  <si>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</si>
  <si>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</si>
  <si>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</si>
  <si>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</si>
  <si>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</si>
  <si>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</si>
  <si>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</si>
  <si>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</si>
  <si>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</si>
  <si>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</si>
  <si>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</si>
  <si>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</si>
  <si>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</si>
  <si>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</si>
  <si>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</si>
  <si>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</si>
  <si>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</si>
  <si>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ORD372</t>
  </si>
  <si>
    <t>ORD373</t>
  </si>
  <si>
    <t>ORD374</t>
  </si>
  <si>
    <t>ORD375</t>
  </si>
  <si>
    <t>ORD376</t>
  </si>
  <si>
    <t>ORD377</t>
  </si>
  <si>
    <t>ORD378</t>
  </si>
  <si>
    <t>ORD379</t>
  </si>
  <si>
    <t>ORD380</t>
  </si>
  <si>
    <t>ORD381</t>
  </si>
  <si>
    <t>ORD383</t>
  </si>
  <si>
    <t>ORD384</t>
  </si>
  <si>
    <t>ORD385</t>
  </si>
  <si>
    <t>ORD386</t>
  </si>
  <si>
    <t>ORD387</t>
  </si>
  <si>
    <t>ORD388</t>
  </si>
  <si>
    <t>ORD390</t>
  </si>
  <si>
    <t>ORD391</t>
  </si>
  <si>
    <t>ORD392</t>
  </si>
  <si>
    <t>ORD394</t>
  </si>
  <si>
    <t>ORD395</t>
  </si>
  <si>
    <t>ORD396</t>
  </si>
  <si>
    <t>ORD397</t>
  </si>
  <si>
    <t>ORD398</t>
  </si>
  <si>
    <t>ORD399</t>
  </si>
  <si>
    <t>ORD400</t>
  </si>
  <si>
    <t>ORD401</t>
  </si>
  <si>
    <t>ORD402</t>
  </si>
  <si>
    <t>ORD404</t>
  </si>
  <si>
    <t>ORD405</t>
  </si>
  <si>
    <t>ORD406</t>
  </si>
  <si>
    <t>ORD408</t>
  </si>
  <si>
    <t>ORD409</t>
  </si>
  <si>
    <t>ORD410</t>
  </si>
  <si>
    <t>ORD414</t>
  </si>
  <si>
    <t>ORD415</t>
  </si>
  <si>
    <t>ORD416</t>
  </si>
  <si>
    <t>ORD417</t>
  </si>
  <si>
    <t>ORD418</t>
  </si>
  <si>
    <t>ORD419</t>
  </si>
  <si>
    <t>ORD420</t>
  </si>
  <si>
    <t>ORD421</t>
  </si>
  <si>
    <t>ORD422</t>
  </si>
  <si>
    <t>ORD423</t>
  </si>
  <si>
    <t>ORD424</t>
  </si>
  <si>
    <t>ORD425</t>
  </si>
  <si>
    <t>ORD427</t>
  </si>
  <si>
    <t>ORD428</t>
  </si>
  <si>
    <t>ORD429</t>
  </si>
  <si>
    <t>ORD430</t>
  </si>
  <si>
    <t>ORD431</t>
  </si>
  <si>
    <t>ORD432</t>
  </si>
  <si>
    <t>ORD433</t>
  </si>
  <si>
    <t>ORD434</t>
  </si>
  <si>
    <t>ORD435</t>
  </si>
  <si>
    <t>ORD436</t>
  </si>
  <si>
    <t>ORD437</t>
  </si>
  <si>
    <t>ORD438</t>
  </si>
  <si>
    <t>ORD441</t>
  </si>
  <si>
    <t>ORD442</t>
  </si>
  <si>
    <t>ORD443</t>
  </si>
  <si>
    <t>ORD444</t>
  </si>
  <si>
    <t>ORD446</t>
  </si>
  <si>
    <t>ORD447</t>
  </si>
  <si>
    <t>ORD448</t>
  </si>
  <si>
    <t>ORD449</t>
  </si>
  <si>
    <t>ORD450</t>
  </si>
  <si>
    <t>ORD453</t>
  </si>
  <si>
    <t>ORD454</t>
  </si>
  <si>
    <t>ORD455</t>
  </si>
  <si>
    <t>ORD456</t>
  </si>
  <si>
    <t>ORD457</t>
  </si>
  <si>
    <t>ORD458</t>
  </si>
  <si>
    <t>ORD459</t>
  </si>
  <si>
    <t>ORD461</t>
  </si>
  <si>
    <t>ORD462</t>
  </si>
  <si>
    <t>ORD463</t>
  </si>
  <si>
    <t>ORD464</t>
  </si>
  <si>
    <t>ORD465</t>
  </si>
  <si>
    <t>ORD467</t>
  </si>
  <si>
    <t>ORD468</t>
  </si>
  <si>
    <t>ORD469</t>
  </si>
  <si>
    <t>ORD470</t>
  </si>
  <si>
    <t>ORD471</t>
  </si>
  <si>
    <t>ORD472</t>
  </si>
  <si>
    <t>ORD473</t>
  </si>
  <si>
    <t>ORD474</t>
  </si>
  <si>
    <t>ORD475</t>
  </si>
  <si>
    <t>ORD479</t>
  </si>
  <si>
    <t>ORD480</t>
  </si>
  <si>
    <t>ORD481</t>
  </si>
  <si>
    <t>ORD482</t>
  </si>
  <si>
    <t>ORD483</t>
  </si>
  <si>
    <t>ORD485</t>
  </si>
  <si>
    <t>ORD486</t>
  </si>
  <si>
    <t>ORD487</t>
  </si>
  <si>
    <t>ORD488</t>
  </si>
  <si>
    <t>ORD489</t>
  </si>
  <si>
    <t>ORD490</t>
  </si>
  <si>
    <t>ORD491</t>
  </si>
  <si>
    <t>ORD493</t>
  </si>
  <si>
    <t>ORD495</t>
  </si>
  <si>
    <t>ORD497</t>
  </si>
  <si>
    <t>ORD498</t>
  </si>
  <si>
    <t>ORD499</t>
  </si>
  <si>
    <t>ORD502</t>
  </si>
  <si>
    <t>ORD505</t>
  </si>
  <si>
    <t>ORD506</t>
  </si>
  <si>
    <t>ORD507</t>
  </si>
  <si>
    <t>ORD508</t>
  </si>
  <si>
    <t>ORD509</t>
  </si>
  <si>
    <t>ORD510</t>
  </si>
  <si>
    <t>ORD511</t>
  </si>
  <si>
    <t>ORD513</t>
  </si>
  <si>
    <t>ORD514</t>
  </si>
  <si>
    <t>ORD515</t>
  </si>
  <si>
    <t>ORD516</t>
  </si>
  <si>
    <t>ORD517</t>
  </si>
  <si>
    <t>ORD518</t>
  </si>
  <si>
    <t>ORD519</t>
  </si>
  <si>
    <t>ORD521</t>
  </si>
  <si>
    <t>ORD522</t>
  </si>
  <si>
    <t>ORD523</t>
  </si>
  <si>
    <t>ORD524</t>
  </si>
  <si>
    <t>ORD526</t>
  </si>
  <si>
    <t>ORD528</t>
  </si>
  <si>
    <t>ORD529</t>
  </si>
  <si>
    <t>ORD531</t>
  </si>
  <si>
    <t>ORD532</t>
  </si>
  <si>
    <t>ORD534</t>
  </si>
  <si>
    <t>ORD535</t>
  </si>
  <si>
    <t>ORD536</t>
  </si>
  <si>
    <t>ORD537</t>
  </si>
  <si>
    <t>ORD538</t>
  </si>
  <si>
    <t>ORD539</t>
  </si>
  <si>
    <t>ORD540</t>
  </si>
  <si>
    <t>ORD541</t>
  </si>
  <si>
    <t>ORD542</t>
  </si>
  <si>
    <t>ORD543</t>
  </si>
  <si>
    <t>ORD545</t>
  </si>
  <si>
    <t>ORD546</t>
  </si>
  <si>
    <t>ORD547</t>
  </si>
  <si>
    <t>ORD548</t>
  </si>
  <si>
    <t>ORD549</t>
  </si>
  <si>
    <t>ORD550</t>
  </si>
  <si>
    <t>ORD551</t>
  </si>
  <si>
    <t>ORD552</t>
  </si>
  <si>
    <t>ORD554</t>
  </si>
  <si>
    <t>ORD556</t>
  </si>
  <si>
    <t>ORD558</t>
  </si>
  <si>
    <t>ORD559</t>
  </si>
  <si>
    <t>ORD562</t>
  </si>
  <si>
    <t>ORD563</t>
  </si>
  <si>
    <t>ORD564</t>
  </si>
  <si>
    <t>ORD565</t>
  </si>
  <si>
    <t>ORD566</t>
  </si>
  <si>
    <t>ORD567</t>
  </si>
  <si>
    <t>ORD568</t>
  </si>
  <si>
    <t>ORD569</t>
  </si>
  <si>
    <t>ORD570</t>
  </si>
  <si>
    <t>ORD571</t>
  </si>
  <si>
    <t>ORD572</t>
  </si>
  <si>
    <t>ORD575</t>
  </si>
  <si>
    <t>ORD576</t>
  </si>
  <si>
    <t>ORD578</t>
  </si>
  <si>
    <t>ORD579</t>
  </si>
  <si>
    <t>ORD580</t>
  </si>
  <si>
    <t>ORD581</t>
  </si>
  <si>
    <t>ORD582</t>
  </si>
  <si>
    <t>ORD583</t>
  </si>
  <si>
    <t>ORD584</t>
  </si>
  <si>
    <t>ORD585</t>
  </si>
  <si>
    <t>ORD586</t>
  </si>
  <si>
    <t>ORD587</t>
  </si>
  <si>
    <t>ORD588</t>
  </si>
  <si>
    <t>ORD589</t>
  </si>
  <si>
    <t>ORD590</t>
  </si>
  <si>
    <t>ORD591</t>
  </si>
  <si>
    <t>ORD593</t>
  </si>
  <si>
    <t>ORD595</t>
  </si>
  <si>
    <t>ORD596</t>
  </si>
  <si>
    <t>ORD597</t>
  </si>
  <si>
    <t>ORD600</t>
  </si>
  <si>
    <t>ORD601</t>
  </si>
  <si>
    <t>ORD603</t>
  </si>
  <si>
    <t>ORD606</t>
  </si>
  <si>
    <t>ORD607</t>
  </si>
  <si>
    <t>ORD609</t>
  </si>
  <si>
    <t>ORD610</t>
  </si>
  <si>
    <t>ORD611</t>
  </si>
  <si>
    <t>ORD613</t>
  </si>
  <si>
    <t>ORD614</t>
  </si>
  <si>
    <t>ORD615</t>
  </si>
  <si>
    <t>ORD616</t>
  </si>
  <si>
    <t>ORD617</t>
  </si>
  <si>
    <t>ORD618</t>
  </si>
  <si>
    <t>ORD619</t>
  </si>
  <si>
    <t>ORD620</t>
  </si>
  <si>
    <t>ORD621</t>
  </si>
  <si>
    <t>ORD622</t>
  </si>
  <si>
    <t>ORD623</t>
  </si>
  <si>
    <t>ORD626</t>
  </si>
  <si>
    <t>ORD627</t>
  </si>
  <si>
    <t>ORD628</t>
  </si>
  <si>
    <t>ORD629</t>
  </si>
  <si>
    <t>ORD630</t>
  </si>
  <si>
    <t>ORD631</t>
  </si>
  <si>
    <t>ORD632</t>
  </si>
  <si>
    <t>ORD633</t>
  </si>
  <si>
    <t>ORD634</t>
  </si>
  <si>
    <t>ORD635</t>
  </si>
  <si>
    <t>ORD636</t>
  </si>
  <si>
    <t>ORD637</t>
  </si>
  <si>
    <t>ORD638</t>
  </si>
  <si>
    <t>ORD639</t>
  </si>
  <si>
    <t>ORD640</t>
  </si>
  <si>
    <t>ORD642</t>
  </si>
  <si>
    <t>ORD645</t>
  </si>
  <si>
    <t>ORD646</t>
  </si>
  <si>
    <t>ORD647</t>
  </si>
  <si>
    <t>ORD649</t>
  </si>
  <si>
    <t>ORD650</t>
  </si>
  <si>
    <t>ORD654</t>
  </si>
  <si>
    <t>ORD655</t>
  </si>
  <si>
    <t>ORD656</t>
  </si>
  <si>
    <t>ORD658</t>
  </si>
  <si>
    <t>ORD659</t>
  </si>
  <si>
    <t>ORD661</t>
  </si>
  <si>
    <t>ORD662</t>
  </si>
  <si>
    <t>ORD665</t>
  </si>
  <si>
    <t>ORD666</t>
  </si>
  <si>
    <t>ORD667</t>
  </si>
  <si>
    <t>ORD668</t>
  </si>
  <si>
    <t>ORD670</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</si>
  <si>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</si>
  <si>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</si>
  <si>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</si>
  <si>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</si>
  <si>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</si>
  <si>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</si>
  <si>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</si>
  <si>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</si>
  <si>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</si>
  <si>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</si>
  <si>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</si>
  <si>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</si>
  <si>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</si>
  <si>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</si>
  <si>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</si>
  <si>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</si>
  <si>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</si>
  <si>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</si>
  <si>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</si>
  <si>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</si>
  <si>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ORD692</t>
  </si>
  <si>
    <t>ORD693</t>
  </si>
  <si>
    <t>ORD694</t>
  </si>
  <si>
    <t>ORD695</t>
  </si>
  <si>
    <t>ORD696</t>
  </si>
  <si>
    <t>ORD697</t>
  </si>
  <si>
    <t>ORD698</t>
  </si>
  <si>
    <t>ORD699</t>
  </si>
  <si>
    <t>ORD701</t>
  </si>
  <si>
    <t>ORD702</t>
  </si>
  <si>
    <t>ORD703</t>
  </si>
  <si>
    <t>ORD704</t>
  </si>
  <si>
    <t>ORD705</t>
  </si>
  <si>
    <t>ORD706</t>
  </si>
  <si>
    <t>ORD707</t>
  </si>
  <si>
    <t>ORD709</t>
  </si>
  <si>
    <t>ORD710</t>
  </si>
  <si>
    <t>ORD711</t>
  </si>
  <si>
    <t>ORD712</t>
  </si>
  <si>
    <t>ORD713</t>
  </si>
  <si>
    <t>ORD714</t>
  </si>
  <si>
    <t>ORD715</t>
  </si>
  <si>
    <t>ORD716</t>
  </si>
  <si>
    <t>ORD717</t>
  </si>
  <si>
    <t>ORD718</t>
  </si>
  <si>
    <t>ORD719</t>
  </si>
  <si>
    <t>ORD720</t>
  </si>
  <si>
    <t>ORD721</t>
  </si>
  <si>
    <t>ORD722</t>
  </si>
  <si>
    <t>ORD723</t>
  </si>
  <si>
    <t>ORD724</t>
  </si>
  <si>
    <t>ORD725</t>
  </si>
  <si>
    <t>ORD727</t>
  </si>
  <si>
    <t>ORD728</t>
  </si>
  <si>
    <t>ORD729</t>
  </si>
  <si>
    <t>ORD730</t>
  </si>
  <si>
    <t>ORD731</t>
  </si>
  <si>
    <t>ORD732</t>
  </si>
  <si>
    <t>ORD734</t>
  </si>
  <si>
    <t>ORD735</t>
  </si>
  <si>
    <t>ORD737</t>
  </si>
  <si>
    <t>ORD738</t>
  </si>
  <si>
    <t>ORD740</t>
  </si>
  <si>
    <t>ORD741</t>
  </si>
  <si>
    <t>ORD742</t>
  </si>
  <si>
    <t>ORD743</t>
  </si>
  <si>
    <t>ORD744</t>
  </si>
  <si>
    <t>ORD745</t>
  </si>
  <si>
    <t>ORD746</t>
  </si>
  <si>
    <t>ORD747</t>
  </si>
  <si>
    <t>ORD749</t>
  </si>
  <si>
    <t>ORD750</t>
  </si>
  <si>
    <t>ORD751</t>
  </si>
  <si>
    <t>ORD752</t>
  </si>
  <si>
    <t>ORD753</t>
  </si>
  <si>
    <t>ORD754</t>
  </si>
  <si>
    <t>ORD755</t>
  </si>
  <si>
    <t>ORD756</t>
  </si>
  <si>
    <t>ORD757</t>
  </si>
  <si>
    <t>ORD758</t>
  </si>
  <si>
    <t>ORD760</t>
  </si>
  <si>
    <t>ORD762</t>
  </si>
  <si>
    <t>ORD763</t>
  </si>
  <si>
    <t>ORD764</t>
  </si>
  <si>
    <t>ORD765</t>
  </si>
  <si>
    <t>ORD766</t>
  </si>
  <si>
    <t>ORD767</t>
  </si>
  <si>
    <t>ORD768</t>
  </si>
  <si>
    <t>ORD769</t>
  </si>
  <si>
    <t>ORD770</t>
  </si>
  <si>
    <t>ORD773</t>
  </si>
  <si>
    <t>ORD774</t>
  </si>
  <si>
    <t>ORD775</t>
  </si>
  <si>
    <t>ORD776</t>
  </si>
  <si>
    <t>ORD777</t>
  </si>
  <si>
    <t>ORD778</t>
  </si>
  <si>
    <t>ORD779</t>
  </si>
  <si>
    <t>ORD783</t>
  </si>
  <si>
    <t>ORD785</t>
  </si>
  <si>
    <t>ORD787</t>
  </si>
  <si>
    <t>ORD788</t>
  </si>
  <si>
    <t>ORD790</t>
  </si>
  <si>
    <t>ORD791</t>
  </si>
  <si>
    <t>ORD792</t>
  </si>
  <si>
    <t>ORD793</t>
  </si>
  <si>
    <t>ORD794</t>
  </si>
  <si>
    <t>ORD795</t>
  </si>
  <si>
    <t>ORD796</t>
  </si>
  <si>
    <t>ORD798</t>
  </si>
  <si>
    <t>ORD800</t>
  </si>
  <si>
    <t>ORD801</t>
  </si>
  <si>
    <t>ORD802</t>
  </si>
  <si>
    <t>ORD803</t>
  </si>
  <si>
    <t>ORD804</t>
  </si>
  <si>
    <t>ORD805</t>
  </si>
  <si>
    <t>ORD806</t>
  </si>
  <si>
    <t>ORD808</t>
  </si>
  <si>
    <t>ORD811</t>
  </si>
  <si>
    <t>ORD812</t>
  </si>
  <si>
    <t>ORD813</t>
  </si>
  <si>
    <t>ORD814</t>
  </si>
  <si>
    <t>ORD815</t>
  </si>
  <si>
    <t>ORD816</t>
  </si>
  <si>
    <t>ORD817</t>
  </si>
  <si>
    <t>ORD818</t>
  </si>
  <si>
    <t>ORD819</t>
  </si>
  <si>
    <t>ORD820</t>
  </si>
  <si>
    <t>ORD821</t>
  </si>
  <si>
    <t>ORD822</t>
  </si>
  <si>
    <t>ORD823</t>
  </si>
  <si>
    <t>ORD824</t>
  </si>
  <si>
    <t>ORD825</t>
  </si>
  <si>
    <t>ORD826</t>
  </si>
  <si>
    <t>ORD827</t>
  </si>
  <si>
    <t>ORD829</t>
  </si>
  <si>
    <t>ORD830</t>
  </si>
  <si>
    <t>ORD831</t>
  </si>
  <si>
    <t>ORD832</t>
  </si>
  <si>
    <t>ORD833</t>
  </si>
  <si>
    <t>ORD834</t>
  </si>
  <si>
    <t>ORD835</t>
  </si>
  <si>
    <t>ORD836</t>
  </si>
  <si>
    <t>ORD837</t>
  </si>
  <si>
    <t>ORD838</t>
  </si>
  <si>
    <t>ORD839</t>
  </si>
  <si>
    <t>ORD840</t>
  </si>
  <si>
    <t>ORD842</t>
  </si>
  <si>
    <t>ORD843</t>
  </si>
  <si>
    <t>ORD844</t>
  </si>
  <si>
    <t>ORD845</t>
  </si>
  <si>
    <t>ORD846</t>
  </si>
  <si>
    <t>ORD847</t>
  </si>
  <si>
    <t>ORD848</t>
  </si>
  <si>
    <t>ORD850</t>
  </si>
  <si>
    <t>ORD852</t>
  </si>
  <si>
    <t>ORD853</t>
  </si>
  <si>
    <t>ORD854</t>
  </si>
  <si>
    <t>ORD855</t>
  </si>
  <si>
    <t>ORD856</t>
  </si>
  <si>
    <t>ORD857</t>
  </si>
  <si>
    <t>ORD859</t>
  </si>
  <si>
    <t>ORD860</t>
  </si>
  <si>
    <t>ORD861</t>
  </si>
  <si>
    <t>ORD862</t>
  </si>
  <si>
    <t>ORD863</t>
  </si>
  <si>
    <t>ORD864</t>
  </si>
  <si>
    <t>ORD867</t>
  </si>
  <si>
    <t>ORD868</t>
  </si>
  <si>
    <t>ORD869</t>
  </si>
  <si>
    <t>ORD872</t>
  </si>
  <si>
    <t>ORD873</t>
  </si>
  <si>
    <t>ORD874</t>
  </si>
  <si>
    <t>ORD875</t>
  </si>
  <si>
    <t>ORD876</t>
  </si>
  <si>
    <t>ORD877</t>
  </si>
  <si>
    <t>ORD878</t>
  </si>
  <si>
    <t>ORD879</t>
  </si>
  <si>
    <t>ORD881</t>
  </si>
  <si>
    <t>ORD882</t>
  </si>
  <si>
    <t>ORD883</t>
  </si>
  <si>
    <t>ORD884</t>
  </si>
  <si>
    <t>ORD885</t>
  </si>
  <si>
    <t>ORD887</t>
  </si>
  <si>
    <t>ORD888</t>
  </si>
  <si>
    <t>ORD889</t>
  </si>
  <si>
    <t>ORD890</t>
  </si>
  <si>
    <t>ORD891</t>
  </si>
  <si>
    <t>ORD892</t>
  </si>
  <si>
    <t>ORD894</t>
  </si>
  <si>
    <t>ORD896</t>
  </si>
  <si>
    <t>ORD898</t>
  </si>
  <si>
    <t>ORD899</t>
  </si>
  <si>
    <t>ORD900</t>
  </si>
  <si>
    <t>ORD901</t>
  </si>
  <si>
    <t>ORD902</t>
  </si>
  <si>
    <t>ORD903</t>
  </si>
  <si>
    <t>ORD904</t>
  </si>
  <si>
    <t>ORD905</t>
  </si>
  <si>
    <t>ORD906</t>
  </si>
  <si>
    <t>ORD908</t>
  </si>
  <si>
    <t>ORD911</t>
  </si>
  <si>
    <t>ORD913</t>
  </si>
  <si>
    <t>ORD914</t>
  </si>
  <si>
    <t>ORD915</t>
  </si>
  <si>
    <t>ORD916</t>
  </si>
  <si>
    <t>ORD917</t>
  </si>
  <si>
    <t>ORD918</t>
  </si>
  <si>
    <t>ORD919</t>
  </si>
  <si>
    <t>ORD921</t>
  </si>
  <si>
    <t>ORD922</t>
  </si>
  <si>
    <t>ORD923</t>
  </si>
  <si>
    <t>ORD924</t>
  </si>
  <si>
    <t>ORD925</t>
  </si>
  <si>
    <t>ORD926</t>
  </si>
  <si>
    <t>ORD927</t>
  </si>
  <si>
    <t>ORD928</t>
  </si>
  <si>
    <t>ORD929</t>
  </si>
  <si>
    <t>ORD930</t>
  </si>
  <si>
    <t>ORD931</t>
  </si>
  <si>
    <t>ORD932</t>
  </si>
  <si>
    <t>ORD933</t>
  </si>
  <si>
    <t>ORD935</t>
  </si>
  <si>
    <t>ORD936</t>
  </si>
  <si>
    <t>ORD937</t>
  </si>
  <si>
    <t>ORD939</t>
  </si>
  <si>
    <t>ORD940</t>
  </si>
  <si>
    <t>ORD941</t>
  </si>
  <si>
    <t>ORD944</t>
  </si>
  <si>
    <t>ORD946</t>
  </si>
  <si>
    <t>ORD947</t>
  </si>
  <si>
    <t>ORD948</t>
  </si>
  <si>
    <t>ORD949</t>
  </si>
  <si>
    <t>ORD950</t>
  </si>
  <si>
    <t>ORD951</t>
  </si>
  <si>
    <t>ORD952</t>
  </si>
  <si>
    <t>ORD953</t>
  </si>
  <si>
    <t>ORD954</t>
  </si>
  <si>
    <t>ORD955</t>
  </si>
  <si>
    <t>ORD956</t>
  </si>
  <si>
    <t>ORD960</t>
  </si>
  <si>
    <t>ORD961</t>
  </si>
  <si>
    <t>ORD964</t>
  </si>
  <si>
    <t>ORD965</t>
  </si>
  <si>
    <t>ORD967</t>
  </si>
  <si>
    <t>ORD968</t>
  </si>
  <si>
    <t>ORD969</t>
  </si>
  <si>
    <t>ORD971</t>
  </si>
  <si>
    <t>ORD972</t>
  </si>
  <si>
    <t>ORD974</t>
  </si>
  <si>
    <t>ORD975</t>
  </si>
  <si>
    <t>ORD976</t>
  </si>
  <si>
    <t>ORD978</t>
  </si>
  <si>
    <t>ORD979</t>
  </si>
  <si>
    <t>ORD980</t>
  </si>
  <si>
    <t>ORD981</t>
  </si>
  <si>
    <t>ORD982</t>
  </si>
  <si>
    <t>ORD983</t>
  </si>
  <si>
    <t>ORD984</t>
  </si>
  <si>
    <t>ORD985</t>
  </si>
  <si>
    <t>ORD986</t>
  </si>
  <si>
    <t>ORD987</t>
  </si>
  <si>
    <t>ORD988</t>
  </si>
  <si>
    <t>ORD989</t>
  </si>
  <si>
    <t>ORD991</t>
  </si>
  <si>
    <t>ORD992</t>
  </si>
  <si>
    <t>ORD993</t>
  </si>
  <si>
    <t>ORD995</t>
  </si>
  <si>
    <t>ORD996</t>
  </si>
  <si>
    <t>ORD997</t>
  </si>
  <si>
    <t>ORD998</t>
  </si>
  <si>
    <t>ORD999</t>
  </si>
  <si>
    <t>ORD1000</t>
  </si>
  <si>
    <t>ORD1001</t>
  </si>
  <si>
    <t>ORD1002</t>
  </si>
  <si>
    <t>ORD1004</t>
  </si>
  <si>
    <t>ORD1005</t>
  </si>
  <si>
    <t>ORD1006</t>
  </si>
  <si>
    <t>ORD1007</t>
  </si>
  <si>
    <t>ORD1008</t>
  </si>
  <si>
    <t>ORD1009</t>
  </si>
  <si>
    <t>ORD1010</t>
  </si>
  <si>
    <t>ORD1011</t>
  </si>
  <si>
    <t>ORD1012</t>
  </si>
  <si>
    <t>ORD1013</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</si>
  <si>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</si>
  <si>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</si>
  <si>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</si>
  <si>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</si>
  <si>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</si>
  <si>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</si>
  <si>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</si>
  <si>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</si>
  <si>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</si>
  <si>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</si>
  <si>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</si>
  <si>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</si>
  <si>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</si>
  <si>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</si>
  <si>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</si>
  <si>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</si>
  <si>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</si>
  <si>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</si>
  <si>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</si>
  <si>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</si>
  <si>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</si>
  <si>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</si>
  <si>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ORD1038</t>
  </si>
  <si>
    <t>ORD1039</t>
  </si>
  <si>
    <t>ORD1041</t>
  </si>
  <si>
    <t>ORD1042</t>
  </si>
  <si>
    <t>ORD1044</t>
  </si>
  <si>
    <t>ORD1045</t>
  </si>
  <si>
    <t>ORD1046</t>
  </si>
  <si>
    <t>ORD1047</t>
  </si>
  <si>
    <t>ORD1048</t>
  </si>
  <si>
    <t>ORD1049</t>
  </si>
  <si>
    <t>ORD1051</t>
  </si>
  <si>
    <t>ORD1053</t>
  </si>
  <si>
    <t>ORD1054</t>
  </si>
  <si>
    <t>ORD1055</t>
  </si>
  <si>
    <t>ORD1056</t>
  </si>
  <si>
    <t>ORD1057</t>
  </si>
  <si>
    <t>ORD1058</t>
  </si>
  <si>
    <t>ORD1059</t>
  </si>
  <si>
    <t>ORD1060</t>
  </si>
  <si>
    <t>ORD1061</t>
  </si>
  <si>
    <t>ORD1062</t>
  </si>
  <si>
    <t>ORD1063</t>
  </si>
  <si>
    <t>ORD1064</t>
  </si>
  <si>
    <t>ORD1066</t>
  </si>
  <si>
    <t>ORD1069</t>
  </si>
  <si>
    <t>ORD1070</t>
  </si>
  <si>
    <t>ORD1071</t>
  </si>
  <si>
    <t>ORD1072</t>
  </si>
  <si>
    <t>ORD1073</t>
  </si>
  <si>
    <t>ORD1074</t>
  </si>
  <si>
    <t>ORD1075</t>
  </si>
  <si>
    <t>ORD1076</t>
  </si>
  <si>
    <t>ORD1077</t>
  </si>
  <si>
    <t>ORD1078</t>
  </si>
  <si>
    <t>ORD1081</t>
  </si>
  <si>
    <t>ORD1082</t>
  </si>
  <si>
    <t>ORD1083</t>
  </si>
  <si>
    <t>ORD1085</t>
  </si>
  <si>
    <t>ORD1086</t>
  </si>
  <si>
    <t>ORD1087</t>
  </si>
  <si>
    <t>ORD1088</t>
  </si>
  <si>
    <t>ORD1089</t>
  </si>
  <si>
    <t>ORD1090</t>
  </si>
  <si>
    <t>ORD1091</t>
  </si>
  <si>
    <t>ORD1092</t>
  </si>
  <si>
    <t>ORD1093</t>
  </si>
  <si>
    <t>ORD1094</t>
  </si>
  <si>
    <t>ORD1095</t>
  </si>
  <si>
    <t>ORD1096</t>
  </si>
  <si>
    <t>ORD1098</t>
  </si>
  <si>
    <t>ORD1099</t>
  </si>
  <si>
    <t>ORD1100</t>
  </si>
  <si>
    <t>ORD1101</t>
  </si>
  <si>
    <t>ORD1102</t>
  </si>
  <si>
    <t>ORD1103</t>
  </si>
  <si>
    <t>ORD1104</t>
  </si>
  <si>
    <t>ORD1105</t>
  </si>
  <si>
    <t>ORD1106</t>
  </si>
  <si>
    <t>ORD1108</t>
  </si>
  <si>
    <t>ORD1109</t>
  </si>
  <si>
    <t>ORD1110</t>
  </si>
  <si>
    <t>ORD1111</t>
  </si>
  <si>
    <t>ORD1112</t>
  </si>
  <si>
    <t>ORD1113</t>
  </si>
  <si>
    <t>ORD1114</t>
  </si>
  <si>
    <t>ORD1115</t>
  </si>
  <si>
    <t>ORD1116</t>
  </si>
  <si>
    <t>ORD1117</t>
  </si>
  <si>
    <t>ORD1119</t>
  </si>
  <si>
    <t>ORD1120</t>
  </si>
  <si>
    <t>ORD1121</t>
  </si>
  <si>
    <t>ORD1122</t>
  </si>
  <si>
    <t>ORD1124</t>
  </si>
  <si>
    <t>ORD1125</t>
  </si>
  <si>
    <t>ORD1126</t>
  </si>
  <si>
    <t>ORD1127</t>
  </si>
  <si>
    <t>ORD1128</t>
  </si>
  <si>
    <t>ORD1129</t>
  </si>
  <si>
    <t>ORD1130</t>
  </si>
  <si>
    <t>ORD1131</t>
  </si>
  <si>
    <t>ORD1133</t>
  </si>
  <si>
    <t>ORD1134</t>
  </si>
  <si>
    <t>ORD1135</t>
  </si>
  <si>
    <t>ORD1137</t>
  </si>
  <si>
    <t>ORD1139</t>
  </si>
  <si>
    <t>ORD1140</t>
  </si>
  <si>
    <t>ORD1141</t>
  </si>
  <si>
    <t>ORD1143</t>
  </si>
  <si>
    <t>ORD1145</t>
  </si>
  <si>
    <t>ORD1146</t>
  </si>
  <si>
    <t>ORD1147</t>
  </si>
  <si>
    <t>ORD1148</t>
  </si>
  <si>
    <t>ORD1150</t>
  </si>
  <si>
    <t>ORD1151</t>
  </si>
  <si>
    <t>ORD1152</t>
  </si>
  <si>
    <t>ORD1153</t>
  </si>
  <si>
    <t>ORD1154</t>
  </si>
  <si>
    <t>ORD1155</t>
  </si>
  <si>
    <t>ORD1156</t>
  </si>
  <si>
    <t>ORD1158</t>
  </si>
  <si>
    <t>ORD1159</t>
  </si>
  <si>
    <t>ORD1160</t>
  </si>
  <si>
    <t>ORD1162</t>
  </si>
  <si>
    <t>ORD1163</t>
  </si>
  <si>
    <t>ORD1164</t>
  </si>
  <si>
    <t>ORD1165</t>
  </si>
  <si>
    <t>ORD1169</t>
  </si>
  <si>
    <t>ORD1170</t>
  </si>
  <si>
    <t>ORD1171</t>
  </si>
  <si>
    <t>ORD1172</t>
  </si>
  <si>
    <t>ORD1173</t>
  </si>
  <si>
    <t>ORD1174</t>
  </si>
  <si>
    <t>ORD1175</t>
  </si>
  <si>
    <t>ORD1176</t>
  </si>
  <si>
    <t>ORD1178</t>
  </si>
  <si>
    <t>ORD1179</t>
  </si>
  <si>
    <t>ORD1181</t>
  </si>
  <si>
    <t>ORD1182</t>
  </si>
  <si>
    <t>ORD1183</t>
  </si>
  <si>
    <t>ORD1184</t>
  </si>
  <si>
    <t>ORD1185</t>
  </si>
  <si>
    <t>ORD1187</t>
  </si>
  <si>
    <t>ORD1188</t>
  </si>
  <si>
    <t>ORD1189</t>
  </si>
  <si>
    <t>ORD1190</t>
  </si>
  <si>
    <t>ORD1191</t>
  </si>
  <si>
    <t>ORD1192</t>
  </si>
  <si>
    <t>ORD1193</t>
  </si>
  <si>
    <t>ORD1194</t>
  </si>
  <si>
    <t>ORD1196</t>
  </si>
  <si>
    <t>ORD1197</t>
  </si>
  <si>
    <t>ORD1198</t>
  </si>
  <si>
    <t>ORD1200</t>
  </si>
  <si>
    <t>ORD1201</t>
  </si>
  <si>
    <t>ORD1202</t>
  </si>
  <si>
    <t>ORD1204</t>
  </si>
  <si>
    <t>ORD1205</t>
  </si>
  <si>
    <t>ORD1206</t>
  </si>
  <si>
    <t>ORD1207</t>
  </si>
  <si>
    <t>ORD1208</t>
  </si>
  <si>
    <t>ORD1209</t>
  </si>
  <si>
    <t>ORD1210</t>
  </si>
  <si>
    <t>ORD1211</t>
  </si>
  <si>
    <t>ORD1212</t>
  </si>
  <si>
    <t>ORD1213</t>
  </si>
  <si>
    <t>ORD1215</t>
  </si>
  <si>
    <t>ORD1216</t>
  </si>
  <si>
    <t>ORD1217</t>
  </si>
  <si>
    <t>ORD1218</t>
  </si>
  <si>
    <t>ORD1219</t>
  </si>
  <si>
    <t>ORD1220</t>
  </si>
  <si>
    <t>ORD1221</t>
  </si>
  <si>
    <t>ORD1222</t>
  </si>
  <si>
    <t>ORD1223</t>
  </si>
  <si>
    <t>ORD1225</t>
  </si>
  <si>
    <t>ORD1227</t>
  </si>
  <si>
    <t>ORD1228</t>
  </si>
  <si>
    <t>ORD1229</t>
  </si>
  <si>
    <t>ORD1230</t>
  </si>
  <si>
    <t>ORD1231</t>
  </si>
  <si>
    <t>ORD1234</t>
  </si>
  <si>
    <t>ORD1235</t>
  </si>
  <si>
    <t>ORD1236</t>
  </si>
  <si>
    <t>ORD1237</t>
  </si>
  <si>
    <t>ORD1238</t>
  </si>
  <si>
    <t>ORD1240</t>
  </si>
  <si>
    <t>ORD1241</t>
  </si>
  <si>
    <t>ORD1242</t>
  </si>
  <si>
    <t>ORD1244</t>
  </si>
  <si>
    <t>ORD1246</t>
  </si>
  <si>
    <t>ORD1248</t>
  </si>
  <si>
    <t>ORD1249</t>
  </si>
  <si>
    <t>ORD1250</t>
  </si>
  <si>
    <t>ORD1251</t>
  </si>
  <si>
    <t>ORD1252</t>
  </si>
  <si>
    <t>ORD1253</t>
  </si>
  <si>
    <t>ORD1255</t>
  </si>
  <si>
    <t>ORD1257</t>
  </si>
  <si>
    <t>ORD1258</t>
  </si>
  <si>
    <t>ORD1259</t>
  </si>
  <si>
    <t>ORD1260</t>
  </si>
  <si>
    <t>ORD1262</t>
  </si>
  <si>
    <t>ORD1263</t>
  </si>
  <si>
    <t>ORD1264</t>
  </si>
  <si>
    <t>ORD1265</t>
  </si>
  <si>
    <t>ORD1266</t>
  </si>
  <si>
    <t>ORD1269</t>
  </si>
  <si>
    <t>ORD1270</t>
  </si>
  <si>
    <t>ORD1271</t>
  </si>
  <si>
    <t>ORD1274</t>
  </si>
  <si>
    <t>ORD1275</t>
  </si>
  <si>
    <t>ORD1276</t>
  </si>
  <si>
    <t>ORD1277</t>
  </si>
  <si>
    <t>ORD1278</t>
  </si>
  <si>
    <t>ORD1279</t>
  </si>
  <si>
    <t>ORD1280</t>
  </si>
  <si>
    <t>ORD1281</t>
  </si>
  <si>
    <t>ORD1283</t>
  </si>
  <si>
    <t>ORD1284</t>
  </si>
  <si>
    <t>ORD1286</t>
  </si>
  <si>
    <t>ORD1287</t>
  </si>
  <si>
    <t>ORD1289</t>
  </si>
  <si>
    <t>ORD1290</t>
  </si>
  <si>
    <t>ORD1292</t>
  </si>
  <si>
    <t>ORD1294</t>
  </si>
  <si>
    <t>ORD1295</t>
  </si>
  <si>
    <t>ORD1296</t>
  </si>
  <si>
    <t>ORD1297</t>
  </si>
  <si>
    <t>ORD1299</t>
  </si>
  <si>
    <t>ORD1300</t>
  </si>
  <si>
    <t>ORD1302</t>
  </si>
  <si>
    <t>ORD1303</t>
  </si>
  <si>
    <t>ORD1304</t>
  </si>
  <si>
    <t>ORD1305</t>
  </si>
  <si>
    <t>ORD1306</t>
  </si>
  <si>
    <t>ORD1307</t>
  </si>
  <si>
    <t>ORD1308</t>
  </si>
  <si>
    <t>ORD1309</t>
  </si>
  <si>
    <t>ORD1310</t>
  </si>
  <si>
    <t>ORD1311</t>
  </si>
  <si>
    <t>ORD1312</t>
  </si>
  <si>
    <t>ORD1313</t>
  </si>
  <si>
    <t>ORD1314</t>
  </si>
  <si>
    <t>ORD1315</t>
  </si>
  <si>
    <t>ORD1316</t>
  </si>
  <si>
    <t>ORD1317</t>
  </si>
  <si>
    <t>ORD1320</t>
  </si>
  <si>
    <t>ORD1321</t>
  </si>
  <si>
    <t>ORD1322</t>
  </si>
  <si>
    <t>ORD1323</t>
  </si>
  <si>
    <t>ORD1325</t>
  </si>
  <si>
    <t>ORD1326</t>
  </si>
  <si>
    <t>ORD1327</t>
  </si>
  <si>
    <t>ORD1328</t>
  </si>
  <si>
    <t>ORD1329</t>
  </si>
  <si>
    <t>ORD1330</t>
  </si>
  <si>
    <t>ORD1331</t>
  </si>
  <si>
    <t>ORD1333</t>
  </si>
  <si>
    <t>ORD1334</t>
  </si>
  <si>
    <t>ORD1335</t>
  </si>
  <si>
    <t>ORD1336</t>
  </si>
  <si>
    <t>ORD1338</t>
  </si>
  <si>
    <t>ORD1339</t>
  </si>
  <si>
    <t>ORD1340</t>
  </si>
  <si>
    <t>ORD1342</t>
  </si>
  <si>
    <t>ORD1343</t>
  </si>
  <si>
    <t>ORD1345</t>
  </si>
  <si>
    <t>ORD1346</t>
  </si>
  <si>
    <t>ORD1347</t>
  </si>
  <si>
    <t>ORD1349</t>
  </si>
  <si>
    <t>ORD1352</t>
  </si>
  <si>
    <t>ORD1353</t>
  </si>
  <si>
    <t>ORD1354</t>
  </si>
  <si>
    <t>ORD1355</t>
  </si>
  <si>
    <t>ORD1356</t>
  </si>
  <si>
    <t>ORD1357</t>
  </si>
  <si>
    <t>ORD1359</t>
  </si>
  <si>
    <t>ORD1363</t>
  </si>
  <si>
    <t>ORD1364</t>
  </si>
  <si>
    <t>ORD1365</t>
  </si>
  <si>
    <t>ORD1366</t>
  </si>
  <si>
    <t>ORD1367</t>
  </si>
  <si>
    <t>ORD1368</t>
  </si>
  <si>
    <t>ORD1369</t>
  </si>
  <si>
    <t>ORD1370</t>
  </si>
  <si>
    <t>ORD1373</t>
  </si>
  <si>
    <t>ORD1374</t>
  </si>
  <si>
    <t>ORD1375</t>
  </si>
  <si>
    <t>ORD1376</t>
  </si>
  <si>
    <t>ORD1377</t>
  </si>
  <si>
    <t>ORD1379</t>
  </si>
  <si>
    <t>ORD1380</t>
  </si>
  <si>
    <t>ORD1381</t>
  </si>
  <si>
    <t>ORD1382</t>
  </si>
  <si>
    <t>ORD1383</t>
  </si>
  <si>
    <t>ORD1384</t>
  </si>
  <si>
    <t>ORD1385</t>
  </si>
  <si>
    <t>ORD1386</t>
  </si>
  <si>
    <t>ORD1387</t>
  </si>
  <si>
    <t>ORD1388</t>
  </si>
  <si>
    <t>ORD1389</t>
  </si>
  <si>
    <t>ORD1390</t>
  </si>
  <si>
    <t>ORD1392</t>
  </si>
  <si>
    <t>ORD1394</t>
  </si>
  <si>
    <t>ORD1395</t>
  </si>
  <si>
    <t>ORD1397</t>
  </si>
  <si>
    <t>ORD1398</t>
  </si>
  <si>
    <t>ORD1399</t>
  </si>
  <si>
    <t>ORD1400</t>
  </si>
  <si>
    <t>ORD1403</t>
  </si>
  <si>
    <t>ORD1404</t>
  </si>
  <si>
    <t>ORD1405</t>
  </si>
  <si>
    <t>ORD1406</t>
  </si>
  <si>
    <t>ORD1407</t>
  </si>
  <si>
    <t>ORD1408</t>
  </si>
  <si>
    <t>ORD1411</t>
  </si>
  <si>
    <t>ORD1412</t>
  </si>
  <si>
    <t>ORD1413</t>
  </si>
  <si>
    <t>ORD1414</t>
  </si>
  <si>
    <t>ORD1416</t>
  </si>
  <si>
    <t>ORD1417</t>
  </si>
  <si>
    <t>ORD1418</t>
  </si>
  <si>
    <t>ORD1419</t>
  </si>
  <si>
    <t>ORD1421</t>
  </si>
  <si>
    <t>ORD1422</t>
  </si>
  <si>
    <t>ORD1424</t>
  </si>
  <si>
    <t>ORD1425</t>
  </si>
  <si>
    <t>ORD1426</t>
  </si>
  <si>
    <t>ORD1427</t>
  </si>
  <si>
    <t>ORD1428</t>
  </si>
  <si>
    <t>ORD1429</t>
  </si>
  <si>
    <t>ORD1430</t>
  </si>
  <si>
    <t>ORD1431</t>
  </si>
  <si>
    <t>ORD1432</t>
  </si>
  <si>
    <t>ORD1433</t>
  </si>
  <si>
    <t>ORD1434</t>
  </si>
  <si>
    <t>ORD1435</t>
  </si>
  <si>
    <t>ORD1436</t>
  </si>
  <si>
    <t>ORD1438</t>
  </si>
  <si>
    <t>ORD1439</t>
  </si>
  <si>
    <t>ORD1442</t>
  </si>
  <si>
    <t>ORD1443</t>
  </si>
  <si>
    <t>ORD1444</t>
  </si>
  <si>
    <t>ORD1445</t>
  </si>
  <si>
    <t>ORD1446</t>
  </si>
  <si>
    <t>ORD1447</t>
  </si>
  <si>
    <t>ORD1448</t>
  </si>
  <si>
    <t>ORD1449</t>
  </si>
  <si>
    <t>ORD1450</t>
  </si>
  <si>
    <t>ORD1451</t>
  </si>
  <si>
    <t>ORD1452</t>
  </si>
  <si>
    <t>ORD1453</t>
  </si>
  <si>
    <t>ORD1454</t>
  </si>
  <si>
    <t>ORD1456</t>
  </si>
  <si>
    <t>ORD1457</t>
  </si>
  <si>
    <t>ORD1458</t>
  </si>
  <si>
    <t>ORD1459</t>
  </si>
  <si>
    <t>ORD1460</t>
  </si>
  <si>
    <t>ORD1462</t>
  </si>
  <si>
    <t>ORD1463</t>
  </si>
  <si>
    <t>ORD1464</t>
  </si>
  <si>
    <t>ORD1466</t>
  </si>
  <si>
    <t>ORD1468</t>
  </si>
  <si>
    <t>ORD1469</t>
  </si>
  <si>
    <t>ORD1471</t>
  </si>
  <si>
    <t>ORD1472</t>
  </si>
  <si>
    <t>ORD1473</t>
  </si>
  <si>
    <t>ORD1474</t>
  </si>
  <si>
    <t>ORD1475</t>
  </si>
  <si>
    <t>ORD1476</t>
  </si>
  <si>
    <t>ORD1477</t>
  </si>
  <si>
    <t>ORD1478</t>
  </si>
  <si>
    <t>ORD1479</t>
  </si>
  <si>
    <t>ORD1480</t>
  </si>
  <si>
    <t>ORD1481</t>
  </si>
  <si>
    <t>ORD1483</t>
  </si>
  <si>
    <t>ORD1484</t>
  </si>
  <si>
    <t>ORD1485</t>
  </si>
  <si>
    <t>ORD1490</t>
  </si>
  <si>
    <t>ORD1491</t>
  </si>
  <si>
    <t>ORD1492</t>
  </si>
  <si>
    <t>ORD1493</t>
  </si>
  <si>
    <t>ORD1494</t>
  </si>
  <si>
    <t>ORD1495</t>
  </si>
  <si>
    <t>ORD1496</t>
  </si>
  <si>
    <t>ORD1497</t>
  </si>
  <si>
    <t>ORD1498</t>
  </si>
  <si>
    <t>ORD1499</t>
  </si>
  <si>
    <t>ORD1500</t>
  </si>
  <si>
    <t>ORD1501</t>
  </si>
  <si>
    <t>ORD1502</t>
  </si>
  <si>
    <t>ORD1504</t>
  </si>
  <si>
    <t>ORD1505</t>
  </si>
  <si>
    <t>ORD1506</t>
  </si>
  <si>
    <t>ORD1507</t>
  </si>
  <si>
    <t>ORD1508</t>
  </si>
  <si>
    <t>ORD1511</t>
  </si>
  <si>
    <t>ORD1512</t>
  </si>
  <si>
    <t>ORD1513</t>
  </si>
  <si>
    <t>ORD1515</t>
  </si>
  <si>
    <t>ORD1517</t>
  </si>
  <si>
    <t>ORD1518</t>
  </si>
  <si>
    <t>ORD1519</t>
  </si>
  <si>
    <t>ORD1520</t>
  </si>
  <si>
    <t>ORD1521</t>
  </si>
  <si>
    <t>ORD1522</t>
  </si>
  <si>
    <t>ORD1523</t>
  </si>
  <si>
    <t>ORD1524</t>
  </si>
  <si>
    <t>ORD1525</t>
  </si>
  <si>
    <t>ORD1526</t>
  </si>
  <si>
    <t>ORD1527</t>
  </si>
  <si>
    <t>ORD1528</t>
  </si>
  <si>
    <t>ORD1529</t>
  </si>
  <si>
    <t>ORD1530</t>
  </si>
  <si>
    <t>ORD1532</t>
  </si>
  <si>
    <t>ORD1533</t>
  </si>
  <si>
    <t>ORD1537</t>
  </si>
  <si>
    <t>ORD1540</t>
  </si>
  <si>
    <t>ORD1541</t>
  </si>
  <si>
    <t>ORD1542</t>
  </si>
  <si>
    <t>ORD1543</t>
  </si>
  <si>
    <t>ORD1544</t>
  </si>
  <si>
    <t>ORD1545</t>
  </si>
  <si>
    <t>ORD1546</t>
  </si>
  <si>
    <t>ORD1547</t>
  </si>
  <si>
    <t>ORD1548</t>
  </si>
  <si>
    <t>ORD1549</t>
  </si>
  <si>
    <t>ORD1550</t>
  </si>
  <si>
    <t>ORD1551</t>
  </si>
  <si>
    <t>ORD1553</t>
  </si>
  <si>
    <t>ORD1555</t>
  </si>
  <si>
    <t>ORD1556</t>
  </si>
  <si>
    <t>ORD1557</t>
  </si>
  <si>
    <t>ORD1558</t>
  </si>
  <si>
    <t>ORD1559</t>
  </si>
  <si>
    <t>ORD1560</t>
  </si>
  <si>
    <t>ORD1561</t>
  </si>
  <si>
    <t>ORD1563</t>
  </si>
  <si>
    <t>ORD1566</t>
  </si>
  <si>
    <t>ORD1567</t>
  </si>
  <si>
    <t>ORD1568</t>
  </si>
  <si>
    <t>ORD1569</t>
  </si>
  <si>
    <t>ORD1570</t>
  </si>
  <si>
    <t>ORD1571</t>
  </si>
  <si>
    <t>ORD1574</t>
  </si>
  <si>
    <t>ORD1575</t>
  </si>
  <si>
    <t>ORD1577</t>
  </si>
  <si>
    <t>ORD1579</t>
  </si>
  <si>
    <t>ORD1580</t>
  </si>
  <si>
    <t>ORD1581</t>
  </si>
  <si>
    <t>ORD1582</t>
  </si>
  <si>
    <t>ORD1583</t>
  </si>
  <si>
    <t>ORD1584</t>
  </si>
  <si>
    <t>ORD1585</t>
  </si>
  <si>
    <t>ORD1588</t>
  </si>
  <si>
    <t>ORD1589</t>
  </si>
  <si>
    <t>ORD1590</t>
  </si>
  <si>
    <t>ORD1591</t>
  </si>
  <si>
    <t>ORD1592</t>
  </si>
  <si>
    <t>ORD1593</t>
  </si>
  <si>
    <t>ORD1594</t>
  </si>
  <si>
    <t>ORD1595</t>
  </si>
  <si>
    <t>ORD1596</t>
  </si>
  <si>
    <t>ORD1597</t>
  </si>
  <si>
    <t>ORD1599</t>
  </si>
  <si>
    <t>ORD1600</t>
  </si>
  <si>
    <t>ORD1601</t>
  </si>
  <si>
    <t>ORD1602</t>
  </si>
  <si>
    <t>ORD1604</t>
  </si>
  <si>
    <t>ORD1605</t>
  </si>
  <si>
    <t>ORD1606</t>
  </si>
  <si>
    <t>ORD1607</t>
  </si>
  <si>
    <t>ORD1608</t>
  </si>
  <si>
    <t>ORD1609</t>
  </si>
  <si>
    <t>ORD1610</t>
  </si>
  <si>
    <t>ORD1611</t>
  </si>
  <si>
    <t>ORD1612</t>
  </si>
  <si>
    <t>ORD1613</t>
  </si>
  <si>
    <t>ORD1614</t>
  </si>
  <si>
    <t>ORD1615</t>
  </si>
  <si>
    <t>ORD1616</t>
  </si>
  <si>
    <t>ORD1617</t>
  </si>
  <si>
    <t>ORD1619</t>
  </si>
  <si>
    <t>ORD1620</t>
  </si>
  <si>
    <t>ORD1621</t>
  </si>
  <si>
    <t>ORD1622</t>
  </si>
  <si>
    <t>ORD1623</t>
  </si>
  <si>
    <t>ORD1625</t>
  </si>
  <si>
    <t>ORD1626</t>
  </si>
  <si>
    <t>ORD1628</t>
  </si>
  <si>
    <t>ORD1629</t>
  </si>
  <si>
    <t>ORD1630</t>
  </si>
  <si>
    <t>ORD1631</t>
  </si>
  <si>
    <t>ORD1632</t>
  </si>
  <si>
    <t>ORD1633</t>
  </si>
  <si>
    <t>ORD1634</t>
  </si>
  <si>
    <t>ORD1638</t>
  </si>
  <si>
    <t>ORD1639</t>
  </si>
  <si>
    <t>ORD1640</t>
  </si>
  <si>
    <t>ORD1642</t>
  </si>
  <si>
    <t>ORD1643</t>
  </si>
  <si>
    <t>ORD1644</t>
  </si>
  <si>
    <t>ORD1645</t>
  </si>
  <si>
    <t>ORD1647</t>
  </si>
  <si>
    <t>ORD1648</t>
  </si>
  <si>
    <t>ORD1649</t>
  </si>
  <si>
    <t>ORD1650</t>
  </si>
  <si>
    <t>ORD1651</t>
  </si>
  <si>
    <t>ORD1652</t>
  </si>
  <si>
    <t>ORD1653</t>
  </si>
  <si>
    <t>ORD1654</t>
  </si>
  <si>
    <t>ORD1656</t>
  </si>
  <si>
    <t>ORD1657</t>
  </si>
  <si>
    <t>ORD1658</t>
  </si>
  <si>
    <t>ORD1659</t>
  </si>
  <si>
    <t>ORD1660</t>
  </si>
  <si>
    <t>ORD1661</t>
  </si>
  <si>
    <t>ORD1662</t>
  </si>
  <si>
    <t>ORD1663</t>
  </si>
  <si>
    <t>ORD1664</t>
  </si>
  <si>
    <t>ORD1666</t>
  </si>
  <si>
    <t>ORD1667</t>
  </si>
  <si>
    <t>ORD1668</t>
  </si>
  <si>
    <t>ORD1669</t>
  </si>
  <si>
    <t>ORD1670</t>
  </si>
  <si>
    <t>ORD1671</t>
  </si>
  <si>
    <t>ORD1672</t>
  </si>
  <si>
    <t>ORD1673</t>
  </si>
  <si>
    <t>ORD1674</t>
  </si>
  <si>
    <t>ORD1675</t>
  </si>
  <si>
    <t>ORD1676</t>
  </si>
  <si>
    <t>ORD1678</t>
  </si>
  <si>
    <t>ORD1679</t>
  </si>
  <si>
    <t>ORD1680</t>
  </si>
  <si>
    <t>ORD1685</t>
  </si>
  <si>
    <t>ORD1686</t>
  </si>
  <si>
    <t>ORD1687</t>
  </si>
  <si>
    <t>ORD1690</t>
  </si>
  <si>
    <t>ORD1692</t>
  </si>
  <si>
    <t>ORD1693</t>
  </si>
  <si>
    <t>ORD1694</t>
  </si>
  <si>
    <t>ORD1696</t>
  </si>
  <si>
    <t>ORD1697</t>
  </si>
  <si>
    <t>ORD1699</t>
  </si>
  <si>
    <t>ORD1700</t>
  </si>
  <si>
    <t>ORD1702</t>
  </si>
  <si>
    <t>ORD1703</t>
  </si>
  <si>
    <t>ORD1704</t>
  </si>
  <si>
    <t>ORD1705</t>
  </si>
  <si>
    <t>ORD1706</t>
  </si>
  <si>
    <t>ORD1707</t>
  </si>
  <si>
    <t>ORD1708</t>
  </si>
  <si>
    <t>ORD1709</t>
  </si>
  <si>
    <t>ORD1710</t>
  </si>
  <si>
    <t>ORD1711</t>
  </si>
  <si>
    <t>ORD1712</t>
  </si>
  <si>
    <t>ORD1713</t>
  </si>
  <si>
    <t>ORD1716</t>
  </si>
  <si>
    <t>ORD1717</t>
  </si>
  <si>
    <t>ORD1718</t>
  </si>
  <si>
    <t>ORD1719</t>
  </si>
  <si>
    <t>ORD1720</t>
  </si>
  <si>
    <t>ORD1721</t>
  </si>
  <si>
    <t>ORD1724</t>
  </si>
  <si>
    <t>ORD1725</t>
  </si>
  <si>
    <t>ORD1726</t>
  </si>
  <si>
    <t>ORD1727</t>
  </si>
  <si>
    <t>ORD1728</t>
  </si>
  <si>
    <t>ORD1729</t>
  </si>
  <si>
    <t>ORD1730</t>
  </si>
  <si>
    <t>ORD1731</t>
  </si>
  <si>
    <t>ORD1733</t>
  </si>
  <si>
    <t>ORD1734</t>
  </si>
  <si>
    <t>ORD1735</t>
  </si>
  <si>
    <t>ORD1736</t>
  </si>
  <si>
    <t>ORD1737</t>
  </si>
  <si>
    <t>ORD1738</t>
  </si>
  <si>
    <t>ORD1739</t>
  </si>
  <si>
    <t>ORD1740</t>
  </si>
  <si>
    <t>ORD1741</t>
  </si>
  <si>
    <t>ORD1742</t>
  </si>
  <si>
    <t>ORD1743</t>
  </si>
  <si>
    <t>ORD1745</t>
  </si>
  <si>
    <t>ORD1746</t>
  </si>
  <si>
    <t>ORD1748</t>
  </si>
  <si>
    <t>ORD1750</t>
  </si>
  <si>
    <t>ORD1751</t>
  </si>
  <si>
    <t>ORD1752</t>
  </si>
  <si>
    <t>ORD1753</t>
  </si>
  <si>
    <t>ORD1754</t>
  </si>
  <si>
    <t>ORD1755</t>
  </si>
  <si>
    <t>ORD1756</t>
  </si>
  <si>
    <t>ORD1758</t>
  </si>
  <si>
    <t>ORD1761</t>
  </si>
  <si>
    <t>ORD1762</t>
  </si>
  <si>
    <t>ORD1763</t>
  </si>
  <si>
    <t>ORD1764</t>
  </si>
  <si>
    <t>ORD1765</t>
  </si>
  <si>
    <t>ORD1766</t>
  </si>
  <si>
    <t>ORD1767</t>
  </si>
  <si>
    <t>ORD1768</t>
  </si>
  <si>
    <t>ORD1769</t>
  </si>
  <si>
    <t>ORD1770</t>
  </si>
  <si>
    <t>ORD1771</t>
  </si>
  <si>
    <t>ORD1772</t>
  </si>
  <si>
    <t>ORD1773</t>
  </si>
  <si>
    <t>ORD1774</t>
  </si>
  <si>
    <t>ORD1775</t>
  </si>
  <si>
    <t>ORD1777</t>
  </si>
  <si>
    <t>ORD1778</t>
  </si>
  <si>
    <t>ORD1779</t>
  </si>
  <si>
    <t>ORD1780</t>
  </si>
  <si>
    <t>ORD1781</t>
  </si>
  <si>
    <t>ORD1782</t>
  </si>
  <si>
    <t>ORD1783</t>
  </si>
  <si>
    <t>ORD1786</t>
  </si>
  <si>
    <t>ORD1787</t>
  </si>
  <si>
    <t>ORD1788</t>
  </si>
  <si>
    <t>ORD1789</t>
  </si>
  <si>
    <t>ORD1790</t>
  </si>
  <si>
    <t>ORD1791</t>
  </si>
  <si>
    <t>ORD1792</t>
  </si>
  <si>
    <t>ORD1793</t>
  </si>
  <si>
    <t>ORD1794</t>
  </si>
  <si>
    <t>ORD1795</t>
  </si>
  <si>
    <t>ORD1796</t>
  </si>
  <si>
    <t>ORD1799</t>
  </si>
  <si>
    <t>ORD1800</t>
  </si>
  <si>
    <t>ORD1801</t>
  </si>
  <si>
    <t>ORD1802</t>
  </si>
  <si>
    <t>ORD1803</t>
  </si>
  <si>
    <t>ORD1805</t>
  </si>
  <si>
    <t>ORD1806</t>
  </si>
  <si>
    <t>ORD1807</t>
  </si>
  <si>
    <t>ORD1808</t>
  </si>
  <si>
    <t>ORD1810</t>
  </si>
  <si>
    <t>ORD1811</t>
  </si>
  <si>
    <t>ORD1812</t>
  </si>
  <si>
    <t>ORD1813</t>
  </si>
  <si>
    <t>ORD1815</t>
  </si>
  <si>
    <t>ORD1816</t>
  </si>
  <si>
    <t>ORD1819</t>
  </si>
  <si>
    <t>ORD1820</t>
  </si>
  <si>
    <t>ORD1821</t>
  </si>
  <si>
    <t>ORD1822</t>
  </si>
  <si>
    <t>ORD1824</t>
  </si>
  <si>
    <t>ORD1825</t>
  </si>
  <si>
    <t>ORD1826</t>
  </si>
  <si>
    <t>ORD1827</t>
  </si>
  <si>
    <t>ORD1829</t>
  </si>
  <si>
    <t>ORD1830</t>
  </si>
  <si>
    <t>ORD1831</t>
  </si>
  <si>
    <t>ORD1832</t>
  </si>
  <si>
    <t>ORD1834</t>
  </si>
  <si>
    <t>ORD1835</t>
  </si>
  <si>
    <t>ORD1836</t>
  </si>
  <si>
    <t>ORD1837</t>
  </si>
  <si>
    <t>ORD1839</t>
  </si>
  <si>
    <t>ORD1840</t>
  </si>
  <si>
    <t>ORD1841</t>
  </si>
  <si>
    <t>ORD1843</t>
  </si>
  <si>
    <t>ORD1844</t>
  </si>
  <si>
    <t>ORD1848</t>
  </si>
  <si>
    <t>ORD1849</t>
  </si>
  <si>
    <t>ORD1850</t>
  </si>
  <si>
    <t>ORD1851</t>
  </si>
  <si>
    <t>ORD1852</t>
  </si>
  <si>
    <t>ORD1853</t>
  </si>
  <si>
    <t>ORD1854</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</si>
  <si>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</si>
  <si>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</si>
  <si>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</si>
  <si>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</si>
  <si>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</si>
  <si>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</si>
  <si>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</si>
  <si>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</si>
  <si>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</si>
  <si>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</si>
  <si>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</si>
  <si>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</si>
  <si>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</si>
  <si>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</si>
  <si>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</si>
  <si>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</si>
  <si>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</si>
  <si>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ORD1874</t>
  </si>
  <si>
    <t>ORD1875</t>
  </si>
  <si>
    <t>ORD1876</t>
  </si>
  <si>
    <t>ORD1877</t>
  </si>
  <si>
    <t>ORD1878</t>
  </si>
  <si>
    <t>ORD1879</t>
  </si>
  <si>
    <t>ORD1880</t>
  </si>
  <si>
    <t>ORD1882</t>
  </si>
  <si>
    <t>ORD1883</t>
  </si>
  <si>
    <t>ORD1884</t>
  </si>
  <si>
    <t>ORD1885</t>
  </si>
  <si>
    <t>ORD1887</t>
  </si>
  <si>
    <t>ORD1888</t>
  </si>
  <si>
    <t>ORD1889</t>
  </si>
  <si>
    <t>ORD1892</t>
  </si>
  <si>
    <t>ORD1893</t>
  </si>
  <si>
    <t>ORD1894</t>
  </si>
  <si>
    <t>ORD1895</t>
  </si>
  <si>
    <t>ORD1896</t>
  </si>
  <si>
    <t>ORD1897</t>
  </si>
  <si>
    <t>ORD1898</t>
  </si>
  <si>
    <t>ORD1899</t>
  </si>
  <si>
    <t>ORD1900</t>
  </si>
  <si>
    <t>ORD1901</t>
  </si>
  <si>
    <t>ORD1903</t>
  </si>
  <si>
    <t>ORD1904</t>
  </si>
  <si>
    <t>ORD1905</t>
  </si>
  <si>
    <t>ORD1906</t>
  </si>
  <si>
    <t>ORD1907</t>
  </si>
  <si>
    <t>ORD1908</t>
  </si>
  <si>
    <t>ORD1909</t>
  </si>
  <si>
    <t>ORD1910</t>
  </si>
  <si>
    <t>ORD1911</t>
  </si>
  <si>
    <t>ORD1912</t>
  </si>
  <si>
    <t>ORD1913</t>
  </si>
  <si>
    <t>ORD1916</t>
  </si>
  <si>
    <t>ORD1917</t>
  </si>
  <si>
    <t>ORD1918</t>
  </si>
  <si>
    <t>ORD1919</t>
  </si>
  <si>
    <t>ORD1920</t>
  </si>
  <si>
    <t>ORD1921</t>
  </si>
  <si>
    <t>ORD1922</t>
  </si>
  <si>
    <t>ORD1923</t>
  </si>
  <si>
    <t>ORD1924</t>
  </si>
  <si>
    <t>ORD1925</t>
  </si>
  <si>
    <t>ORD1926</t>
  </si>
  <si>
    <t>ORD1929</t>
  </si>
  <si>
    <t>ORD1930</t>
  </si>
  <si>
    <t>ORD1931</t>
  </si>
  <si>
    <t>ORD1932</t>
  </si>
  <si>
    <t>ORD1933</t>
  </si>
  <si>
    <t>ORD1934</t>
  </si>
  <si>
    <t>ORD1935</t>
  </si>
  <si>
    <t>ORD1936</t>
  </si>
  <si>
    <t>ORD1937</t>
  </si>
  <si>
    <t>ORD1938</t>
  </si>
  <si>
    <t>ORD1939</t>
  </si>
  <si>
    <t>ORD1940</t>
  </si>
  <si>
    <t>ORD1941</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</si>
  <si>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</si>
  <si>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</si>
  <si>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</si>
  <si>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</si>
  <si>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</si>
  <si>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</si>
  <si>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</si>
  <si>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</si>
  <si>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</si>
  <si>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</si>
  <si>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</si>
  <si>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</si>
  <si>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</si>
  <si>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</si>
  <si>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</si>
  <si>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</si>
  <si>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</si>
  <si>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ORD1961</t>
  </si>
  <si>
    <t>ORD1962</t>
  </si>
  <si>
    <t>ORD1963</t>
  </si>
  <si>
    <t>ORD1965</t>
  </si>
  <si>
    <t>ORD1966</t>
  </si>
  <si>
    <t>ORD1967</t>
  </si>
  <si>
    <t>ORD1968</t>
  </si>
  <si>
    <t>ORD1971</t>
  </si>
  <si>
    <t>ORD1972</t>
  </si>
  <si>
    <t>ORD1973</t>
  </si>
  <si>
    <t>ORD1974</t>
  </si>
  <si>
    <t>ORD1975</t>
  </si>
  <si>
    <t>ORD1976</t>
  </si>
  <si>
    <t>ORD1977</t>
  </si>
  <si>
    <t>ORD1978</t>
  </si>
  <si>
    <t>ORD1980</t>
  </si>
  <si>
    <t>ORD1981</t>
  </si>
  <si>
    <t>ORD1982</t>
  </si>
  <si>
    <t>ORD1983</t>
  </si>
  <si>
    <t>ORD1984</t>
  </si>
  <si>
    <t>ORD1985</t>
  </si>
  <si>
    <t>ORD1986</t>
  </si>
  <si>
    <t>ORD1987</t>
  </si>
  <si>
    <t>ORD1988</t>
  </si>
  <si>
    <t>ORD1989</t>
  </si>
  <si>
    <t>ORD1990</t>
  </si>
  <si>
    <t>ORD1991</t>
  </si>
  <si>
    <t>ORD1992</t>
  </si>
  <si>
    <t>ORD1993</t>
  </si>
  <si>
    <t>ORD1994</t>
  </si>
  <si>
    <t>ORD1996</t>
  </si>
  <si>
    <t>ORD1997</t>
  </si>
  <si>
    <t>ORD1999</t>
  </si>
  <si>
    <t>ORD2000</t>
  </si>
  <si>
    <t>Revenue</t>
  </si>
  <si>
    <t>Net Revenue</t>
  </si>
  <si>
    <t>Grand Total</t>
  </si>
  <si>
    <t>2023</t>
  </si>
  <si>
    <t>Jan</t>
  </si>
  <si>
    <t>Feb</t>
  </si>
  <si>
    <t>Mar</t>
  </si>
  <si>
    <t>Apr</t>
  </si>
  <si>
    <t>May</t>
  </si>
  <si>
    <t>Jun</t>
  </si>
  <si>
    <t>Jul</t>
  </si>
  <si>
    <t>Aug</t>
  </si>
  <si>
    <t>Sep</t>
  </si>
  <si>
    <t>Oct</t>
  </si>
  <si>
    <t>Nov</t>
  </si>
  <si>
    <t>Dec</t>
  </si>
  <si>
    <t>2024</t>
  </si>
  <si>
    <t>Payment_Mode</t>
  </si>
  <si>
    <t>Total_Revenue</t>
  </si>
  <si>
    <t>Monthly_Revenue_Trend</t>
  </si>
  <si>
    <t>Sales Performance Dashboard</t>
  </si>
  <si>
    <t>Sales Insights</t>
  </si>
  <si>
    <t>Trend Analysis</t>
  </si>
  <si>
    <t>• Ensure high stock availability for Laptops and Tablets during peak months</t>
  </si>
  <si>
    <t>• Focus on North and West regions with better product availability and marketing</t>
  </si>
  <si>
    <t>• Introduce offers in low-performing months (Feb, Jul, Oct, Nov) to boost sales</t>
  </si>
  <si>
    <t>• Run targeted campaigns like festival and student discounts to increase demand</t>
  </si>
  <si>
    <t>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</si>
</sst>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dd/mm/yyyy;@"/>
    <numFmt numFmtId="165" formatCode="&quot;₹&quot;\ #,##0.00"/>
    <numFmt numFmtId="166" formatCode="&quot;₹&quot;\ #,##0.0"/>
  </numFmts>
  <fonts count="10" x14ac:knownFonts="1">
    <font>
      <sz val="11"/>
      <color theme="1"/>
      <name val="Calibri"/>
      <family val="2"/>
      <scheme val="minor"/>
    </font>
    <font>
      <b/>
      <sz val="18"/>
      <color theme="1"/>
      <name val="Calibri"/>
      <family val="2"/>
      <scheme val="minor"/>
    </font>
    <font>
      <b/>
      <sz val="22"/>
      <color theme="1"/>
      <name val="Calibri"/>
      <family val="2"/>
      <scheme val="minor"/>
    </font>
    <font>
      <b/>
      <sz val="28"/>
      <color theme="1"/>
      <name val="Calibri"/>
      <family val="2"/>
      <scheme val="minor"/>
    </font>
    <font>
      <b/>
      <u/>
      <sz val="22"/>
      <color theme="1"/>
      <name val="Calibri"/>
      <family val="2"/>
      <scheme val="minor"/>
    </font>
    <font>
      <sz val="11"/>
      <color theme="0" tint="-0.14999847407452621"/>
      <name val="Calibri"/>
      <family val="2"/>
      <scheme val="minor"/>
    </font>
    <font>
      <sz val="14"/>
      <color theme="0" tint="-0.14999847407452621"/>
      <name val="Calibri"/>
      <family val="2"/>
      <scheme val="minor"/>
    </font>
    <font>
      <b/>
      <sz val="20"/>
      <color theme="1"/>
      <name val="Calibri"/>
      <family val="2"/>
      <scheme val="minor"/>
    </font>
    <font>
      <sz val="12"/>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28">
    <xf numFmtId="0" fontId="0" fillId="0" borderId="0" xfId="0"/>
    <xf numFmtId="15"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pivotButton="1" applyAlignment="1">
      <alignment horizontal="left"/>
    </xf>
    <xf numFmtId="0" fontId="0" fillId="0" borderId="0" xfId="0" applyAlignment="1">
      <alignment horizontal="left" indent="1"/>
    </xf>
    <xf numFmtId="0" fontId="0" fillId="2" borderId="0" xfId="0" applyFill="1"/>
    <xf numFmtId="165" fontId="0" fillId="2" borderId="0" xfId="0" applyNumberFormat="1" applyFill="1"/>
    <xf numFmtId="0" fontId="1" fillId="2" borderId="0" xfId="0" applyFont="1" applyFill="1" applyAlignment="1">
      <alignment vertical="center"/>
    </xf>
    <xf numFmtId="0" fontId="0" fillId="2" borderId="0" xfId="0" applyFill="1" applyAlignment="1">
      <alignment vertical="center"/>
    </xf>
    <xf numFmtId="0" fontId="2" fillId="2" borderId="0" xfId="0" applyFont="1" applyFill="1" applyAlignment="1">
      <alignment horizontal="center" vertical="center"/>
    </xf>
    <xf numFmtId="0" fontId="4" fillId="2" borderId="0" xfId="0" applyFont="1" applyFill="1" applyAlignment="1">
      <alignment horizontal="center" vertical="center"/>
    </xf>
    <xf numFmtId="0" fontId="5" fillId="2" borderId="0" xfId="0" applyFont="1" applyFill="1"/>
    <xf numFmtId="165" fontId="5" fillId="2" borderId="0" xfId="0" applyNumberFormat="1" applyFont="1" applyFill="1"/>
    <xf numFmtId="165" fontId="6" fillId="2" borderId="0" xfId="0" applyNumberFormat="1" applyFont="1" applyFill="1" applyAlignment="1">
      <alignment horizontal="center" vertical="center"/>
    </xf>
    <xf numFmtId="0" fontId="4" fillId="2" borderId="0" xfId="0" applyFont="1" applyFill="1" applyAlignment="1">
      <alignment horizontal="left" vertical="center" indent="35"/>
    </xf>
    <xf numFmtId="0" fontId="0" fillId="2" borderId="0" xfId="0" applyFill="1" applyAlignment="1">
      <alignment horizontal="left" vertical="center" indent="35"/>
    </xf>
    <xf numFmtId="0" fontId="3" fillId="2" borderId="0" xfId="0" applyFont="1" applyFill="1" applyAlignment="1">
      <alignment horizontal="left" vertical="center" indent="67"/>
    </xf>
    <xf numFmtId="0" fontId="7" fillId="2" borderId="0" xfId="0" applyFont="1" applyFill="1" applyAlignment="1"/>
    <xf numFmtId="0" fontId="8" fillId="2" borderId="0" xfId="0" applyFont="1" applyFill="1"/>
    <xf numFmtId="0" fontId="8" fillId="2" borderId="0" xfId="0" applyFont="1" applyFill="1" applyAlignment="1"/>
    <xf numFmtId="0" fontId="0" fillId="2" borderId="0" xfId="0" applyFill="1" applyAlignment="1"/>
    <xf numFmtId="0" fontId="8" fillId="2" borderId="0" xfId="0" applyFont="1" applyFill="1" applyAlignment="1">
      <alignment horizontal="center"/>
    </xf>
    <xf numFmtId="0" fontId="9" fillId="2" borderId="0" xfId="0" applyFont="1" applyFill="1" applyAlignment="1">
      <alignment horizontal="center"/>
    </xf>
  </cellXfs>
  <cellStyles count="1">
    <cellStyle name="Normal" xfId="0" builtinId="0"/>
  </cellStyles>
  <dxfs count="14">
    <dxf>
      <numFmt numFmtId="166" formatCode="&quot;₹&quot;\ #,##0.0"/>
    </dxf>
    <dxf>
      <numFmt numFmtId="166" formatCode="&quot;₹&quot;\ #,##0.0"/>
    </dxf>
    <dxf>
      <numFmt numFmtId="164" formatCode="[$-14009]dd/mm/yyyy;@"/>
    </dxf>
    <dxf>
      <numFmt numFmtId="165" formatCode="&quot;₹&quot;\ #,##0.00"/>
    </dxf>
    <dxf>
      <alignment horizontal="left"/>
    </dxf>
    <dxf>
      <alignment horizontal="center"/>
    </dxf>
    <dxf>
      <numFmt numFmtId="165" formatCode="&quot;₹&quot;\ #,##0.00"/>
    </dxf>
    <dxf>
      <alignment horizontal="left"/>
    </dxf>
    <dxf>
      <alignment horizontal="center"/>
    </dxf>
    <dxf>
      <numFmt numFmtId="165" formatCode="&quot;₹&quot;\ #,##0.00"/>
    </dxf>
    <dxf>
      <alignment horizontal="center"/>
    </dxf>
    <dxf>
      <alignment horizontal="center"/>
    </dxf>
    <dxf>
      <numFmt numFmtId="165" formatCode="&quot;₹&quot;\ #,##0.00"/>
    </dxf>
    <dxf>
      <numFmt numFmtId="165" formatCode="&quot;₹&quot;\ #,##0.00"/>
    </dxf>
  </dxfs>
  <tableStyles count="0" defaultTableStyle="TableStyleMedium9" defaultPivotStyle="PivotStyleLight16"/>
  <colors>
    <mruColors>
      <color rgb="FF0F06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[Adarsh_Project_Data.xlsx]Pivot_tables!PivotTable1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Region</a:t>
            </a:r>
            <a:endParaRPr lang="en-US"/>
          </a:p>
        </c:rich>
      </c:tx>
      <c:layout>
        <c:manualLayout>
          <c:xMode val="edge"/>
          <c:yMode val="edge"/>
          <c:x val="0.37817412159779867"/>
          <c:y val="7.74320091446216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c:f>
              <c:strCache>
                <c:ptCount val="1"/>
                <c:pt idx="0">
                  <c:v>Total</c:v>
                </c:pt>
              </c:strCache>
            </c:strRef>
          </c:tx>
          <c:spPr>
            <a:solidFill>
              <a:srgbClr val="0070C0"/>
            </a:solidFill>
            <a:ln>
              <a:noFill/>
            </a:ln>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Pivot_tables!$A$4:$A$8</c:f>
              <c:strCache>
                <c:ptCount val="4"/>
                <c:pt idx="0">
                  <c:v>South</c:v>
                </c:pt>
                <c:pt idx="1">
                  <c:v>West</c:v>
                </c:pt>
                <c:pt idx="2">
                  <c:v>North</c:v>
                </c:pt>
                <c:pt idx="3">
                  <c:v>East</c:v>
                </c:pt>
              </c:strCache>
            </c:strRef>
          </c:cat>
          <c:val>
            <c:numRef>
              <c:f>Pivot_tables!$B$4:$B$8</c:f>
              <c:numCache>
                <c:formatCode>"₹"\ #,##0.00</c:formatCode>
                <c:ptCount val="4"/>
                <c:pt idx="0">
                  <c:v>45450800.689999968</c:v>
                </c:pt>
                <c:pt idx="1">
                  <c:v>44910834.539999969</c:v>
                </c:pt>
                <c:pt idx="2">
                  <c:v>56111506.309999958</c:v>
                </c:pt>
                <c:pt idx="3">
                  <c:v>49001467.12000002</c:v>
                </c:pt>
              </c:numCache>
            </c:numRef>
          </c:val>
          <c:extLst>
            <c:ext xmlns:c16="http://schemas.microsoft.com/office/drawing/2014/chart" uri="{C3380CC4-5D6E-409C-BE32-E72D297353CC}">
              <c16:uniqueId val="{00000000-DE30-4254-8254-1BF37B83DFE6}"/>
            </c:ext>
          </c:extLst>
        </c:ser>
        <c:dLbls>
          <c:dLblPos val="inEnd"/>
          <c:showLegendKey val="0"/>
          <c:showVal val="1"/>
          <c:showCatName val="0"/>
          <c:showSerName val="0"/>
          <c:showPercent val="0"/>
          <c:showBubbleSize val="0"/>
        </c:dLbls>
        <c:gapWidth val="150"/>
        <c:axId val="1029950464"/>
        <c:axId val="1029942784"/>
      </c:barChart>
      <c:catAx>
        <c:axId val="1029950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942784"/>
        <c:crosses val="autoZero"/>
        <c:auto val="1"/>
        <c:lblAlgn val="ctr"/>
        <c:lblOffset val="100"/>
        <c:noMultiLvlLbl val="0"/>
      </c:catAx>
      <c:valAx>
        <c:axId val="1029942784"/>
        <c:scaling>
          <c:orientation val="minMax"/>
        </c:scaling>
        <c:delete val="1"/>
        <c:axPos val="b"/>
        <c:numFmt formatCode="&quot;₹&quot;\ #,##0.00" sourceLinked="1"/>
        <c:majorTickMark val="none"/>
        <c:minorTickMark val="none"/>
        <c:tickLblPos val="nextTo"/>
        <c:crossAx val="1029950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[Adarsh_Project_Data.xlsx]Pivot_tables!PivotTable2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Product</a:t>
            </a:r>
          </a:p>
        </c:rich>
      </c:tx>
      <c:layout>
        <c:manualLayout>
          <c:xMode val="edge"/>
          <c:yMode val="edge"/>
          <c:x val="0.29736704411552362"/>
          <c:y val="3.73213835718364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70C0"/>
          </a:solidFill>
          <a:ln w="19050">
            <a:solidFill>
              <a:schemeClr val="lt1"/>
            </a:solidFill>
          </a:ln>
          <a:effectLst/>
        </c:spPr>
        <c:dLbl>
          <c:idx val="0"/>
          <c:layout>
            <c:manualLayout>
              <c:x val="3.1153714107365865E-2"/>
              <c:y val="-4.42922679990780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tx2">
              <a:lumMod val="60000"/>
              <a:lumOff val="40000"/>
            </a:schemeClr>
          </a:solidFill>
          <a:ln w="19050">
            <a:solidFill>
              <a:schemeClr val="lt1"/>
            </a:solidFill>
          </a:ln>
          <a:effectLst/>
        </c:spPr>
        <c:dLbl>
          <c:idx val="0"/>
          <c:layout>
            <c:manualLayout>
              <c:x val="4.7238920099875154E-2"/>
              <c:y val="-9.83642271344977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tx2">
              <a:lumMod val="40000"/>
              <a:lumOff val="60000"/>
            </a:schemeClr>
          </a:solidFill>
          <a:ln w="19050">
            <a:solidFill>
              <a:schemeClr val="lt1"/>
            </a:solidFill>
          </a:ln>
          <a:effectLst/>
        </c:spPr>
        <c:dLbl>
          <c:idx val="0"/>
          <c:layout>
            <c:manualLayout>
              <c:x val="-0.12389107365792759"/>
              <c:y val="-7.40759742142715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bg1">
              <a:lumMod val="50000"/>
            </a:schemeClr>
          </a:solidFill>
          <a:ln w="19050">
            <a:solidFill>
              <a:schemeClr val="lt1"/>
            </a:solidFill>
          </a:ln>
          <a:effectLst/>
        </c:spPr>
        <c:dLbl>
          <c:idx val="0"/>
          <c:layout>
            <c:manualLayout>
              <c:x val="-1.2330992509363295E-2"/>
              <c:y val="-0.1683630374815046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bg1">
              <a:lumMod val="65000"/>
            </a:schemeClr>
          </a:solidFill>
          <a:ln w="19050">
            <a:solidFill>
              <a:schemeClr val="lt1"/>
            </a:solidFill>
          </a:ln>
          <a:effectLst/>
        </c:spPr>
        <c:dLbl>
          <c:idx val="0"/>
          <c:layout>
            <c:manualLayout>
              <c:x val="-5.1875312109862688E-2"/>
              <c:y val="-1.2455295071118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Pivot_tables!$E$3</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635C-47CD-B904-698578ED75AE}"/>
              </c:ext>
            </c:extLst>
          </c:dPt>
          <c:dPt>
            <c:idx val="1"/>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3-635C-47CD-B904-698578ED75AE}"/>
              </c:ext>
            </c:extLst>
          </c:dPt>
          <c:dPt>
            <c:idx val="2"/>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5-635C-47CD-B904-698578ED75AE}"/>
              </c:ext>
            </c:extLst>
          </c:dPt>
          <c:dPt>
            <c:idx val="3"/>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7-635C-47CD-B904-698578ED75AE}"/>
              </c:ext>
            </c:extLst>
          </c:dPt>
          <c:dPt>
            <c:idx val="4"/>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9-635C-47CD-B904-698578ED75AE}"/>
              </c:ext>
            </c:extLst>
          </c:dPt>
          <c:dLbls>
            <c:dLbl>
              <c:idx val="0"/>
              <c:layout>
                <c:manualLayout>
                  <c:x val="3.1153714107365865E-2"/>
                  <c:y val="-4.42922679990780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35C-47CD-B904-698578ED75AE}"/>
                </c:ext>
              </c:extLst>
            </c:dLbl>
            <c:dLbl>
              <c:idx val="1"/>
              <c:layout>
                <c:manualLayout>
                  <c:x val="4.7238920099875154E-2"/>
                  <c:y val="-9.836422713449778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35C-47CD-B904-698578ED75AE}"/>
                </c:ext>
              </c:extLst>
            </c:dLbl>
            <c:dLbl>
              <c:idx val="2"/>
              <c:layout>
                <c:manualLayout>
                  <c:x val="-0.12389107365792759"/>
                  <c:y val="-7.407597421427154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35C-47CD-B904-698578ED75AE}"/>
                </c:ext>
              </c:extLst>
            </c:dLbl>
            <c:dLbl>
              <c:idx val="3"/>
              <c:layout>
                <c:manualLayout>
                  <c:x val="-1.2330992509363295E-2"/>
                  <c:y val="-0.1683630374815046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35C-47CD-B904-698578ED75AE}"/>
                </c:ext>
              </c:extLst>
            </c:dLbl>
            <c:dLbl>
              <c:idx val="4"/>
              <c:layout>
                <c:manualLayout>
                  <c:x val="-5.1875312109862688E-2"/>
                  <c:y val="-1.24552950711189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35C-47CD-B904-698578ED75A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Pivot_tables!$D$4:$D$9</c:f>
              <c:strCache>
                <c:ptCount val="5"/>
                <c:pt idx="0">
                  <c:v>Laptop</c:v>
                </c:pt>
                <c:pt idx="1">
                  <c:v>Tablet</c:v>
                </c:pt>
                <c:pt idx="2">
                  <c:v>Monitor</c:v>
                </c:pt>
                <c:pt idx="3">
                  <c:v>Phone</c:v>
                </c:pt>
                <c:pt idx="4">
                  <c:v>Headphones</c:v>
                </c:pt>
              </c:strCache>
            </c:strRef>
          </c:cat>
          <c:val>
            <c:numRef>
              <c:f>Pivot_tables!$E$4:$E$9</c:f>
              <c:numCache>
                <c:formatCode>"₹"\ #,##0.00</c:formatCode>
                <c:ptCount val="5"/>
                <c:pt idx="0">
                  <c:v>44802999.54999999</c:v>
                </c:pt>
                <c:pt idx="1">
                  <c:v>40799021.430000015</c:v>
                </c:pt>
                <c:pt idx="2">
                  <c:v>37362502.45000001</c:v>
                </c:pt>
                <c:pt idx="3">
                  <c:v>36787403.68999999</c:v>
                </c:pt>
                <c:pt idx="4">
                  <c:v>35722681.540000014</c:v>
                </c:pt>
              </c:numCache>
            </c:numRef>
          </c:val>
          <c:extLst>
            <c:ext xmlns:c16="http://schemas.microsoft.com/office/drawing/2014/chart" uri="{C3380CC4-5D6E-409C-BE32-E72D297353CC}">
              <c16:uniqueId val="{0000000A-635C-47CD-B904-698578ED75AE}"/>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[Adarsh_Project_Data.xlsx]Pivot_tables!PivotTable3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Category</a:t>
            </a:r>
            <a:endParaRPr lang="en-US"/>
          </a:p>
        </c:rich>
      </c:tx>
      <c:layout>
        <c:manualLayout>
          <c:xMode val="edge"/>
          <c:yMode val="edge"/>
          <c:x val="0.3758199164480352"/>
          <c:y val="7.43742762982096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Pivot_tables!$H$3</c:f>
              <c:strCache>
                <c:ptCount val="1"/>
                <c:pt idx="0">
                  <c:v>Total</c:v>
                </c:pt>
              </c:strCache>
            </c:strRef>
          </c:tx>
          <c:spPr>
            <a:solidFill>
              <a:srgbClr val="0070C0"/>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Pivot_tables!$G$4:$G$6</c:f>
              <c:strCache>
                <c:ptCount val="2"/>
                <c:pt idx="0">
                  <c:v>Accessories</c:v>
                </c:pt>
                <c:pt idx="1">
                  <c:v>Electronics</c:v>
                </c:pt>
              </c:strCache>
            </c:strRef>
          </c:cat>
          <c:val>
            <c:numRef>
              <c:f>Pivot_tables!$H$4:$H$6</c:f>
              <c:numCache>
                <c:formatCode>"₹"\ #,##0.00</c:formatCode>
                <c:ptCount val="2"/>
                <c:pt idx="0">
                  <c:v>99783322.160000026</c:v>
                </c:pt>
                <c:pt idx="1">
                  <c:v>95691286.499999806</c:v>
                </c:pt>
              </c:numCache>
            </c:numRef>
          </c:val>
          <c:extLst>
            <c:ext xmlns:c16="http://schemas.microsoft.com/office/drawing/2014/chart" uri="{C3380CC4-5D6E-409C-BE32-E72D297353CC}">
              <c16:uniqueId val="{00000000-1517-43B4-9B83-672112039B94}"/>
            </c:ext>
          </c:extLst>
        </c:ser>
        <c:dLbls>
          <c:dLblPos val="inEnd"/>
          <c:showLegendKey val="0"/>
          <c:showVal val="1"/>
          <c:showCatName val="0"/>
          <c:showSerName val="0"/>
          <c:showPercent val="0"/>
          <c:showBubbleSize val="0"/>
        </c:dLbls>
        <c:gapWidth val="120"/>
        <c:overlap val="-27"/>
        <c:axId val="924761520"/>
        <c:axId val="924773520"/>
      </c:barChart>
      <c:catAx>
        <c:axId val="92476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773520"/>
        <c:crosses val="autoZero"/>
        <c:auto val="1"/>
        <c:lblAlgn val="ctr"/>
        <c:lblOffset val="100"/>
        <c:noMultiLvlLbl val="0"/>
      </c:catAx>
      <c:valAx>
        <c:axId val="924773520"/>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76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[Adarsh_Project_Data.xlsx]Pivot_tables!PivotTable4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0070C0"/>
            </a:solidFill>
            <a:round/>
          </a:ln>
          <a:effectLst/>
        </c:spPr>
        <c:marker>
          <c:symbol val="circle"/>
          <c:size val="5"/>
          <c:spPr>
            <a:solidFill>
              <a:srgbClr val="0070C0"/>
            </a:solidFill>
            <a:ln w="28575">
              <a:solidFill>
                <a:schemeClr val="accent1"/>
              </a:solidFill>
            </a:ln>
            <a:effectLst/>
          </c:spPr>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rgbClr val="0070C0"/>
            </a:solidFill>
            <a:round/>
          </a:ln>
          <a:effectLst/>
        </c:spPr>
        <c:marker>
          <c:symbol val="circle"/>
          <c:size val="5"/>
          <c:spPr>
            <a:solidFill>
              <a:srgbClr val="0070C0"/>
            </a:solidFill>
            <a:ln w="28575">
              <a:solidFill>
                <a:schemeClr val="accent1"/>
              </a:solidFill>
            </a:ln>
            <a:effectLst/>
          </c:spPr>
        </c:marker>
        <c:dLbl>
          <c:idx val="0"/>
          <c:layout>
            <c:manualLayout>
              <c:x val="-8.583912931517456E-3"/>
              <c:y val="-0.26424118317926593"/>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rgbClr val="0070C0"/>
            </a:solidFill>
            <a:round/>
          </a:ln>
          <a:effectLst/>
        </c:spPr>
        <c:marker>
          <c:symbol val="circle"/>
          <c:size val="5"/>
          <c:spPr>
            <a:solidFill>
              <a:srgbClr val="0070C0"/>
            </a:solidFill>
            <a:ln w="28575">
              <a:solidFill>
                <a:schemeClr val="accent1"/>
              </a:solidFill>
            </a:ln>
            <a:effectLst/>
          </c:spPr>
        </c:marker>
        <c:dLbl>
          <c:idx val="0"/>
          <c:layout>
            <c:manualLayout>
              <c:x val="-4.089883601929574E-2"/>
              <c:y val="-0.12078907767255609"/>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rgbClr val="0070C0"/>
            </a:solidFill>
            <a:round/>
          </a:ln>
          <a:effectLst/>
        </c:spPr>
        <c:marker>
          <c:symbol val="circle"/>
          <c:size val="5"/>
          <c:spPr>
            <a:solidFill>
              <a:srgbClr val="0070C0"/>
            </a:solidFill>
            <a:ln w="28575">
              <a:solidFill>
                <a:schemeClr val="accent1"/>
              </a:solidFill>
            </a:ln>
            <a:effectLst/>
          </c:spPr>
        </c:marker>
      </c:pivotFmt>
      <c:pivotFmt>
        <c:idx val="6"/>
        <c:spPr>
          <a:ln w="31750" cap="rnd">
            <a:solidFill>
              <a:srgbClr val="0070C0"/>
            </a:solidFill>
            <a:round/>
          </a:ln>
          <a:effectLst/>
        </c:spPr>
        <c:marker>
          <c:symbol val="circle"/>
          <c:size val="5"/>
          <c:spPr>
            <a:solidFill>
              <a:srgbClr val="0070C0"/>
            </a:solidFill>
            <a:ln w="28575">
              <a:solidFill>
                <a:schemeClr val="accent1"/>
              </a:solidFill>
            </a:ln>
            <a:effectLst/>
          </c:spPr>
        </c:marker>
      </c:pivotFmt>
    </c:pivotFmts>
    <c:plotArea>
      <c:layout/>
      <c:lineChart>
        <c:grouping val="standard"/>
        <c:varyColors val="0"/>
        <c:ser>
          <c:idx val="0"/>
          <c:order val="0"/>
          <c:tx>
            <c:strRef>
              <c:f>Pivot_tables!$K$3</c:f>
              <c:strCache>
                <c:ptCount val="1"/>
                <c:pt idx="0">
                  <c:v>Total</c:v>
                </c:pt>
              </c:strCache>
            </c:strRef>
          </c:tx>
          <c:spPr>
            <a:ln w="31750" cap="rnd">
              <a:solidFill>
                <a:srgbClr val="0070C0"/>
              </a:solidFill>
              <a:round/>
            </a:ln>
            <a:effectLst/>
          </c:spPr>
          <c:marker>
            <c:symbol val="circle"/>
            <c:size val="5"/>
            <c:spPr>
              <a:solidFill>
                <a:srgbClr val="0070C0"/>
              </a:solidFill>
              <a:ln w="28575">
                <a:solidFill>
                  <a:schemeClr val="accent1"/>
                </a:solidFill>
              </a:ln>
              <a:effectLst/>
            </c:spPr>
          </c:marker>
          <c:dPt>
            <c:idx val="0"/>
            <c:marker>
              <c:symbol val="circle"/>
              <c:size val="5"/>
              <c:spPr>
                <a:solidFill>
                  <a:srgbClr val="0070C0"/>
                </a:solidFill>
                <a:ln w="28575">
                  <a:solidFill>
                    <a:schemeClr val="accent1"/>
                  </a:solidFill>
                </a:ln>
                <a:effectLst/>
              </c:spPr>
            </c:marker>
            <c:bubble3D val="0"/>
            <c:spPr>
              <a:ln w="31750" cap="rnd">
                <a:solidFill>
                  <a:srgbClr val="0070C0"/>
                </a:solidFill>
                <a:round/>
              </a:ln>
              <a:effectLst/>
            </c:spPr>
            <c:extLst>
              <c:ext xmlns:c16="http://schemas.microsoft.com/office/drawing/2014/chart" uri="{C3380CC4-5D6E-409C-BE32-E72D297353CC}">
                <c16:uniqueId val="{00000001-0612-48A1-80A3-021187C6204B}"/>
              </c:ext>
            </c:extLst>
          </c:dPt>
          <c:dPt>
            <c:idx val="12"/>
            <c:marker>
              <c:symbol val="circle"/>
              <c:size val="5"/>
              <c:spPr>
                <a:solidFill>
                  <a:srgbClr val="0070C0"/>
                </a:solidFill>
                <a:ln w="28575">
                  <a:solidFill>
                    <a:schemeClr val="accent1"/>
                  </a:solidFill>
                </a:ln>
                <a:effectLst/>
              </c:spPr>
            </c:marker>
            <c:bubble3D val="0"/>
            <c:spPr>
              <a:ln w="31750" cap="rnd">
                <a:solidFill>
                  <a:srgbClr val="0070C0"/>
                </a:solidFill>
                <a:round/>
              </a:ln>
              <a:effectLst/>
            </c:spPr>
            <c:extLst>
              <c:ext xmlns:c16="http://schemas.microsoft.com/office/drawing/2014/chart" uri="{C3380CC4-5D6E-409C-BE32-E72D297353CC}">
                <c16:uniqueId val="{00000000-0612-48A1-80A3-021187C6204B}"/>
              </c:ext>
            </c:extLst>
          </c:dPt>
          <c:dLbls>
            <c:dLbl>
              <c:idx val="0"/>
              <c:layout>
                <c:manualLayout>
                  <c:x val="-4.089883601929574E-2"/>
                  <c:y val="-0.1207890776725560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612-48A1-80A3-021187C6204B}"/>
                </c:ext>
              </c:extLst>
            </c:dLbl>
            <c:dLbl>
              <c:idx val="12"/>
              <c:layout>
                <c:manualLayout>
                  <c:x val="-8.583912931517456E-3"/>
                  <c:y val="-0.2642411831792659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612-48A1-80A3-021187C6204B}"/>
                </c:ext>
              </c:extLst>
            </c:dLbl>
            <c:numFmt formatCode="&quot;₹&quot;\ #,##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Pivot_tables!$J$4:$J$19</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Pivot_tables!$K$4:$K$19</c:f>
              <c:numCache>
                <c:formatCode>"₹"\ #,##0.00</c:formatCode>
                <c:ptCount val="13"/>
                <c:pt idx="0">
                  <c:v>19218825.880000003</c:v>
                </c:pt>
                <c:pt idx="1">
                  <c:v>12369509.369999997</c:v>
                </c:pt>
                <c:pt idx="2">
                  <c:v>13923596.99</c:v>
                </c:pt>
                <c:pt idx="3">
                  <c:v>17500849.819999997</c:v>
                </c:pt>
                <c:pt idx="4">
                  <c:v>19413944.590000004</c:v>
                </c:pt>
                <c:pt idx="5">
                  <c:v>17550367.380000003</c:v>
                </c:pt>
                <c:pt idx="6">
                  <c:v>14975233.820000002</c:v>
                </c:pt>
                <c:pt idx="7">
                  <c:v>16528002.939999998</c:v>
                </c:pt>
                <c:pt idx="8">
                  <c:v>17621584.450000007</c:v>
                </c:pt>
                <c:pt idx="9">
                  <c:v>16920564.230000004</c:v>
                </c:pt>
                <c:pt idx="10">
                  <c:v>13226039.619999999</c:v>
                </c:pt>
                <c:pt idx="11">
                  <c:v>15760527.250000006</c:v>
                </c:pt>
                <c:pt idx="12">
                  <c:v>465562.32000000007</c:v>
                </c:pt>
              </c:numCache>
            </c:numRef>
          </c:val>
          <c:smooth val="0"/>
          <c:extLst>
            <c:ext xmlns:c16="http://schemas.microsoft.com/office/drawing/2014/chart" uri="{C3380CC4-5D6E-409C-BE32-E72D297353CC}">
              <c16:uniqueId val="{00000000-7747-4B4B-A7EE-48954D379967}"/>
            </c:ext>
          </c:extLst>
        </c:ser>
        <c:dLbls>
          <c:dLblPos val="t"/>
          <c:showLegendKey val="0"/>
          <c:showVal val="1"/>
          <c:showCatName val="0"/>
          <c:showSerName val="0"/>
          <c:showPercent val="0"/>
          <c:showBubbleSize val="0"/>
        </c:dLbls>
        <c:marker val="1"/>
        <c:smooth val="0"/>
        <c:axId val="1187357744"/>
        <c:axId val="1187360144"/>
      </c:lineChart>
      <c:catAx>
        <c:axId val="118735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360144"/>
        <c:crosses val="autoZero"/>
        <c:auto val="1"/>
        <c:lblAlgn val="ctr"/>
        <c:lblOffset val="100"/>
        <c:noMultiLvlLbl val="0"/>
      </c:catAx>
      <c:valAx>
        <c:axId val="1187360144"/>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357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225728</xdr:colOff>
      <xdr:row>4</xdr:row>
      <xdr:rowOff>134033</xdr:rowOff>
    </xdr:from>
    <xdr:to>
      <xdr:col>3</xdr:col>
      <xdr:colOff>386443</xdr:colOff>
      <xdr:row>9</xdr:row>
      <xdr:rowOff>112666</xdr:rowOff>
    </xdr:to>
    <xdr:sp macro="" textlink="$Z$1">
      <xdr:nvSpPr>
        <xdr:cNvPr id="2" name="Rectangle 1">
          <a:extLst>
            <a:ext uri="{FF2B5EF4-FFF2-40B4-BE49-F238E27FC236}">
              <a16:creationId xmlns:a16="http://schemas.microsoft.com/office/drawing/2014/main" id="{7C52FB7D-F3C5-BD25-2FDE-0E4349F709E4}"/>
            </a:ext>
          </a:extLst>
        </xdr:cNvPr>
        <xdr:cNvSpPr/>
      </xdr:nvSpPr>
      <xdr:spPr>
        <a:xfrm>
          <a:off x="225728" y="915083"/>
          <a:ext cx="2080955" cy="893033"/>
        </a:xfrm>
        <a:prstGeom prst="rect">
          <a:avLst/>
        </a:prstGeom>
        <a:solidFill>
          <a:schemeClr val="bg1"/>
        </a:solidFill>
        <a:ln>
          <a:noFill/>
        </a:ln>
        <a:effectLst>
          <a:outerShdw blurRad="190500" dist="101600" dir="18900000" algn="b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rgbClr val="7F7F7F"/>
              </a:solidFill>
              <a:latin typeface="Calibri"/>
              <a:ea typeface="Calibri"/>
              <a:cs typeface="Calibri"/>
            </a:rPr>
            <a:t>Total Revenue</a:t>
          </a:r>
        </a:p>
        <a:p>
          <a:pPr algn="ctr"/>
          <a:endParaRPr lang="en-US" sz="1400" b="0" i="0" u="none" strike="noStrike">
            <a:solidFill>
              <a:srgbClr val="7F7F7F"/>
            </a:solidFill>
            <a:latin typeface="Calibri"/>
            <a:ea typeface="Calibri"/>
            <a:cs typeface="Calibri"/>
          </a:endParaRPr>
        </a:p>
        <a:p>
          <a:pPr algn="ctr"/>
          <a:fld id="{4BF5D54C-E071-489A-866E-0DF61B774925}" type="TxLink">
            <a:rPr lang="en-US" sz="1800" b="1" i="0" u="none" strike="noStrike">
              <a:solidFill>
                <a:schemeClr val="tx1"/>
              </a:solidFill>
              <a:latin typeface="Calibri"/>
              <a:ea typeface="Calibri"/>
              <a:cs typeface="Calibri"/>
            </a:rPr>
            <a:pPr algn="ctr"/>
            <a:t>₹ 19,54,74,608.66</a:t>
          </a:fld>
          <a:endParaRPr lang="en-US" sz="1800" b="1">
            <a:solidFill>
              <a:schemeClr val="tx1"/>
            </a:solidFill>
          </a:endParaRPr>
        </a:p>
      </xdr:txBody>
    </xdr:sp>
    <xdr:clientData/>
  </xdr:twoCellAnchor>
  <xdr:twoCellAnchor>
    <xdr:from>
      <xdr:col>3</xdr:col>
      <xdr:colOff>522105</xdr:colOff>
      <xdr:row>4</xdr:row>
      <xdr:rowOff>134033</xdr:rowOff>
    </xdr:from>
    <xdr:to>
      <xdr:col>7</xdr:col>
      <xdr:colOff>180023</xdr:colOff>
      <xdr:row>9</xdr:row>
      <xdr:rowOff>143558</xdr:rowOff>
    </xdr:to>
    <xdr:sp macro="" textlink="$Z$2">
      <xdr:nvSpPr>
        <xdr:cNvPr id="3" name="Rectangle 2">
          <a:extLst>
            <a:ext uri="{FF2B5EF4-FFF2-40B4-BE49-F238E27FC236}">
              <a16:creationId xmlns:a16="http://schemas.microsoft.com/office/drawing/2014/main" id="{99386F13-C428-499D-A84E-B8764FC6FB5A}"/>
            </a:ext>
          </a:extLst>
        </xdr:cNvPr>
        <xdr:cNvSpPr/>
      </xdr:nvSpPr>
      <xdr:spPr>
        <a:xfrm>
          <a:off x="2442345" y="915083"/>
          <a:ext cx="2218238" cy="923925"/>
        </a:xfrm>
        <a:prstGeom prst="rect">
          <a:avLst/>
        </a:prstGeom>
        <a:solidFill>
          <a:schemeClr val="bg1"/>
        </a:solidFill>
        <a:ln>
          <a:noFill/>
        </a:ln>
        <a:effectLst>
          <a:outerShdw blurRad="190500" dist="101600" dir="18900000" algn="b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bg1">
                  <a:lumMod val="50000"/>
                </a:schemeClr>
              </a:solidFill>
              <a:effectLst/>
              <a:latin typeface="+mn-lt"/>
              <a:ea typeface="+mn-ea"/>
              <a:cs typeface="+mn-cs"/>
            </a:rPr>
            <a:t>                     </a:t>
          </a:r>
          <a:r>
            <a:rPr lang="en-IN" sz="1200" b="0" i="0" u="none" strike="noStrike">
              <a:solidFill>
                <a:schemeClr val="bg1">
                  <a:lumMod val="50000"/>
                </a:schemeClr>
              </a:solidFill>
              <a:effectLst/>
              <a:latin typeface="+mn-lt"/>
              <a:ea typeface="+mn-ea"/>
              <a:cs typeface="+mn-cs"/>
            </a:rPr>
            <a:t>Total Orders</a:t>
          </a:r>
          <a:endParaRPr lang="en-US" sz="1200" b="0" i="0" u="none" strike="noStrike">
            <a:solidFill>
              <a:schemeClr val="bg1">
                <a:lumMod val="50000"/>
              </a:schemeClr>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r>
            <a:rPr lang="en-US" sz="1100" b="0" i="0" u="none" strike="noStrike" baseline="0">
              <a:solidFill>
                <a:srgbClr val="000000"/>
              </a:solidFill>
              <a:latin typeface="Calibri"/>
              <a:ea typeface="Calibri"/>
              <a:cs typeface="Calibri"/>
            </a:rPr>
            <a:t>                         </a:t>
          </a:r>
          <a:fld id="{3237AF20-05B6-4466-872D-292C5A4A848E}" type="TxLink">
            <a:rPr lang="en-US" sz="1800" b="1" i="0" u="none" strike="noStrike">
              <a:solidFill>
                <a:srgbClr val="000000"/>
              </a:solidFill>
              <a:latin typeface="Calibri"/>
              <a:ea typeface="Calibri"/>
              <a:cs typeface="Calibri"/>
            </a:rPr>
            <a:pPr algn="l"/>
            <a:t>1632</a:t>
          </a:fld>
          <a:endParaRPr lang="en-IN" sz="1800" b="1">
            <a:solidFill>
              <a:schemeClr val="bg1">
                <a:lumMod val="50000"/>
              </a:schemeClr>
            </a:solidFill>
          </a:endParaRPr>
        </a:p>
      </xdr:txBody>
    </xdr:sp>
    <xdr:clientData/>
  </xdr:twoCellAnchor>
  <xdr:twoCellAnchor>
    <xdr:from>
      <xdr:col>7</xdr:col>
      <xdr:colOff>315685</xdr:colOff>
      <xdr:row>4</xdr:row>
      <xdr:rowOff>134033</xdr:rowOff>
    </xdr:from>
    <xdr:to>
      <xdr:col>11</xdr:col>
      <xdr:colOff>39051</xdr:colOff>
      <xdr:row>9</xdr:row>
      <xdr:rowOff>143558</xdr:rowOff>
    </xdr:to>
    <xdr:sp macro="" textlink="$Z$3">
      <xdr:nvSpPr>
        <xdr:cNvPr id="4" name="Rectangle 3">
          <a:extLst>
            <a:ext uri="{FF2B5EF4-FFF2-40B4-BE49-F238E27FC236}">
              <a16:creationId xmlns:a16="http://schemas.microsoft.com/office/drawing/2014/main" id="{4B590AE6-A7AF-478F-9443-D7C396963C5E}"/>
            </a:ext>
          </a:extLst>
        </xdr:cNvPr>
        <xdr:cNvSpPr/>
      </xdr:nvSpPr>
      <xdr:spPr>
        <a:xfrm>
          <a:off x="4796245" y="915083"/>
          <a:ext cx="2283686" cy="923925"/>
        </a:xfrm>
        <a:prstGeom prst="rect">
          <a:avLst/>
        </a:prstGeom>
        <a:solidFill>
          <a:schemeClr val="bg1"/>
        </a:solidFill>
        <a:ln>
          <a:noFill/>
        </a:ln>
        <a:effectLst>
          <a:outerShdw blurRad="190500" dist="101600" dir="18900000" algn="b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tx1"/>
              </a:solidFill>
              <a:latin typeface="Calibri"/>
              <a:ea typeface="Calibri"/>
              <a:cs typeface="Calibri"/>
            </a:rPr>
            <a:t>                </a:t>
          </a:r>
          <a:r>
            <a:rPr lang="en-US" sz="1200" b="0" i="0" u="none" strike="noStrike">
              <a:solidFill>
                <a:schemeClr val="bg1">
                  <a:lumMod val="50000"/>
                </a:schemeClr>
              </a:solidFill>
              <a:latin typeface="Calibri"/>
              <a:ea typeface="Calibri"/>
              <a:cs typeface="Calibri"/>
            </a:rPr>
            <a:t>Avg</a:t>
          </a:r>
          <a:r>
            <a:rPr lang="en-US" sz="1200" b="0" i="0" u="none" strike="noStrike" baseline="0">
              <a:solidFill>
                <a:schemeClr val="bg1">
                  <a:lumMod val="50000"/>
                </a:schemeClr>
              </a:solidFill>
              <a:latin typeface="Calibri"/>
              <a:ea typeface="Calibri"/>
              <a:cs typeface="Calibri"/>
            </a:rPr>
            <a:t> Order Value</a:t>
          </a:r>
          <a:endParaRPr lang="en-US" sz="1200" b="0" i="0" u="none" strike="noStrike">
            <a:solidFill>
              <a:schemeClr val="bg1">
                <a:lumMod val="50000"/>
              </a:schemeClr>
            </a:solidFill>
            <a:latin typeface="Calibri"/>
            <a:ea typeface="Calibri"/>
            <a:cs typeface="Calibri"/>
          </a:endParaRPr>
        </a:p>
        <a:p>
          <a:pPr algn="l"/>
          <a:endParaRPr lang="en-US" sz="1800" b="1" i="0" u="none" strike="noStrike" baseline="0">
            <a:solidFill>
              <a:schemeClr val="tx1"/>
            </a:solidFill>
            <a:latin typeface="Calibri"/>
            <a:ea typeface="Calibri"/>
            <a:cs typeface="Calibri"/>
          </a:endParaRPr>
        </a:p>
        <a:p>
          <a:pPr algn="l"/>
          <a:r>
            <a:rPr lang="en-US" sz="1800" b="1" i="0" u="none" strike="noStrike" baseline="0">
              <a:solidFill>
                <a:schemeClr val="tx1"/>
              </a:solidFill>
              <a:latin typeface="Calibri"/>
              <a:ea typeface="Calibri"/>
              <a:cs typeface="Calibri"/>
            </a:rPr>
            <a:t>         </a:t>
          </a:r>
          <a:fld id="{8DD09B1B-951F-4396-B4B0-C44BD34473F9}" type="TxLink">
            <a:rPr lang="en-US" sz="1800" b="1" i="0" u="none" strike="noStrike">
              <a:solidFill>
                <a:schemeClr val="tx1"/>
              </a:solidFill>
              <a:latin typeface="Calibri"/>
              <a:ea typeface="Calibri"/>
              <a:cs typeface="Calibri"/>
            </a:rPr>
            <a:pPr algn="l"/>
            <a:t>₹ 1,19,776.11</a:t>
          </a:fld>
          <a:endParaRPr lang="en-IN" sz="1800" b="1">
            <a:solidFill>
              <a:schemeClr val="tx1"/>
            </a:solidFill>
          </a:endParaRPr>
        </a:p>
      </xdr:txBody>
    </xdr:sp>
    <xdr:clientData/>
  </xdr:twoCellAnchor>
  <xdr:twoCellAnchor>
    <xdr:from>
      <xdr:col>0</xdr:col>
      <xdr:colOff>0</xdr:colOff>
      <xdr:row>17</xdr:row>
      <xdr:rowOff>91959</xdr:rowOff>
    </xdr:from>
    <xdr:to>
      <xdr:col>8</xdr:col>
      <xdr:colOff>519113</xdr:colOff>
      <xdr:row>32</xdr:row>
      <xdr:rowOff>10582</xdr:rowOff>
    </xdr:to>
    <xdr:graphicFrame macro="">
      <xdr:nvGraphicFramePr>
        <xdr:cNvPr id="7" name="Chart 6">
          <a:extLst>
            <a:ext uri="{FF2B5EF4-FFF2-40B4-BE49-F238E27FC236}">
              <a16:creationId xmlns:a16="http://schemas.microsoft.com/office/drawing/2014/main" id="{8C71EC62-BB5A-43FD-B1E8-CA80F07D5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20977</xdr:colOff>
      <xdr:row>17</xdr:row>
      <xdr:rowOff>91959</xdr:rowOff>
    </xdr:from>
    <xdr:to>
      <xdr:col>18</xdr:col>
      <xdr:colOff>164805</xdr:colOff>
      <xdr:row>32</xdr:row>
      <xdr:rowOff>38619</xdr:rowOff>
    </xdr:to>
    <xdr:graphicFrame macro="">
      <xdr:nvGraphicFramePr>
        <xdr:cNvPr id="8" name="Chart 7">
          <a:extLst>
            <a:ext uri="{FF2B5EF4-FFF2-40B4-BE49-F238E27FC236}">
              <a16:creationId xmlns:a16="http://schemas.microsoft.com/office/drawing/2014/main" id="{2427E157-4EE9-4C2C-BA1A-0BB563B19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308927</xdr:colOff>
      <xdr:row>17</xdr:row>
      <xdr:rowOff>91959</xdr:rowOff>
    </xdr:from>
    <xdr:to>
      <xdr:col>25</xdr:col>
      <xdr:colOff>809625</xdr:colOff>
      <xdr:row>32</xdr:row>
      <xdr:rowOff>12759</xdr:rowOff>
    </xdr:to>
    <xdr:graphicFrame macro="">
      <xdr:nvGraphicFramePr>
        <xdr:cNvPr id="9" name="Chart 8">
          <a:extLst>
            <a:ext uri="{FF2B5EF4-FFF2-40B4-BE49-F238E27FC236}">
              <a16:creationId xmlns:a16="http://schemas.microsoft.com/office/drawing/2014/main" id="{BEC1D207-5723-40B0-A098-D7EB81AEC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19232</xdr:colOff>
      <xdr:row>38</xdr:row>
      <xdr:rowOff>19777</xdr:rowOff>
    </xdr:from>
    <xdr:to>
      <xdr:col>23</xdr:col>
      <xdr:colOff>439601</xdr:colOff>
      <xdr:row>52</xdr:row>
      <xdr:rowOff>173447</xdr:rowOff>
    </xdr:to>
    <xdr:graphicFrame macro="">
      <xdr:nvGraphicFramePr>
        <xdr:cNvPr id="10" name="Chart 9">
          <a:extLst>
            <a:ext uri="{FF2B5EF4-FFF2-40B4-BE49-F238E27FC236}">
              <a16:creationId xmlns:a16="http://schemas.microsoft.com/office/drawing/2014/main" id="{541A11E3-441D-49D4-878B-E94C4C842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627561</xdr:colOff>
      <xdr:row>4</xdr:row>
      <xdr:rowOff>89626</xdr:rowOff>
    </xdr:from>
    <xdr:to>
      <xdr:col>20</xdr:col>
      <xdr:colOff>531706</xdr:colOff>
      <xdr:row>9</xdr:row>
      <xdr:rowOff>100512</xdr:rowOff>
    </xdr:to>
    <mc:AlternateContent xmlns:mc="http://schemas.openxmlformats.org/markup-compatibility/2006">
      <mc:Choice xmlns:a14="http://schemas.microsoft.com/office/drawing/2010/main" Requires="a14">
        <xdr:graphicFrame macro="">
          <xdr:nvGraphicFramePr>
            <xdr:cNvPr id="11" name="PaymentMode">
              <a:extLst>
                <a:ext uri="{FF2B5EF4-FFF2-40B4-BE49-F238E27FC236}">
                  <a16:creationId xmlns:a16="http://schemas.microsoft.com/office/drawing/2014/main" id="{0F596B63-79DD-4304-AE1C-15F2D3C1B8B4}"/>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dr:sp macro="" textlink="">
          <xdr:nvSpPr>
            <xdr:cNvPr id="0" name=""/>
            <xdr:cNvSpPr>
              <a:spLocks noTextEdit="1"/>
            </xdr:cNvSpPr>
          </xdr:nvSpPr>
          <xdr:spPr>
            <a:xfrm>
              <a:off x="11530511" y="877026"/>
              <a:ext cx="1828195" cy="931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512233</xdr:colOff>
      <xdr:row>4</xdr:row>
      <xdr:rowOff>89626</xdr:rowOff>
    </xdr:from>
    <xdr:to>
      <xdr:col>17</xdr:col>
      <xdr:colOff>413415</xdr:colOff>
      <xdr:row>9</xdr:row>
      <xdr:rowOff>67855</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D1B9BC57-0800-4201-8B99-CC99E85A890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491133" y="877026"/>
              <a:ext cx="1825232" cy="898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396058</xdr:colOff>
      <xdr:row>4</xdr:row>
      <xdr:rowOff>89626</xdr:rowOff>
    </xdr:from>
    <xdr:to>
      <xdr:col>14</xdr:col>
      <xdr:colOff>298087</xdr:colOff>
      <xdr:row>9</xdr:row>
      <xdr:rowOff>84183</xdr:rowOff>
    </xdr:to>
    <mc:AlternateContent xmlns:mc="http://schemas.openxmlformats.org/markup-compatibility/2006">
      <mc:Choice xmlns:a14="http://schemas.microsoft.com/office/drawing/2010/main" Requires="a14">
        <xdr:graphicFrame macro="">
          <xdr:nvGraphicFramePr>
            <xdr:cNvPr id="13" name="Product">
              <a:extLst>
                <a:ext uri="{FF2B5EF4-FFF2-40B4-BE49-F238E27FC236}">
                  <a16:creationId xmlns:a16="http://schemas.microsoft.com/office/drawing/2014/main" id="{C5F6DE25-E896-413D-B910-EAB34253647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450908" y="877026"/>
              <a:ext cx="1826079" cy="9153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103596</xdr:colOff>
      <xdr:row>4</xdr:row>
      <xdr:rowOff>89626</xdr:rowOff>
    </xdr:from>
    <xdr:to>
      <xdr:col>24</xdr:col>
      <xdr:colOff>11915</xdr:colOff>
      <xdr:row>9</xdr:row>
      <xdr:rowOff>89624</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2DEACC66-D66D-44D6-83AD-D7F3A02FF4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571946" y="877026"/>
              <a:ext cx="1832369" cy="920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235084</xdr:colOff>
      <xdr:row>5</xdr:row>
      <xdr:rowOff>121594</xdr:rowOff>
    </xdr:from>
    <xdr:to>
      <xdr:col>39</xdr:col>
      <xdr:colOff>393158</xdr:colOff>
      <xdr:row>24</xdr:row>
      <xdr:rowOff>243192</xdr:rowOff>
    </xdr:to>
    <xdr:sp macro="" textlink="">
      <xdr:nvSpPr>
        <xdr:cNvPr id="6" name="Rectangle 5">
          <a:extLst>
            <a:ext uri="{FF2B5EF4-FFF2-40B4-BE49-F238E27FC236}">
              <a16:creationId xmlns:a16="http://schemas.microsoft.com/office/drawing/2014/main" id="{0E79F19E-0E3D-B6A3-75B8-0E875226A247}"/>
            </a:ext>
          </a:extLst>
        </xdr:cNvPr>
        <xdr:cNvSpPr/>
      </xdr:nvSpPr>
      <xdr:spPr>
        <a:xfrm>
          <a:off x="17631382" y="1082200"/>
          <a:ext cx="8483329" cy="3587077"/>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r>
            <a:rPr lang="en-IN" sz="1400" b="1" baseline="0">
              <a:solidFill>
                <a:schemeClr val="tx1"/>
              </a:solidFill>
            </a:rPr>
            <a:t>                                                                                            Key Insights</a:t>
          </a:r>
        </a:p>
        <a:p>
          <a:pPr algn="l"/>
          <a:endParaRPr lang="en-IN" sz="1200" b="0" baseline="0">
            <a:solidFill>
              <a:schemeClr val="tx1"/>
            </a:solidFill>
          </a:endParaRPr>
        </a:p>
        <a:p>
          <a:pPr algn="l"/>
          <a:r>
            <a:rPr lang="en-IN" sz="1200" b="0" baseline="0">
              <a:solidFill>
                <a:schemeClr val="tx1"/>
              </a:solidFill>
            </a:rPr>
            <a:t>• Laptop is the top-performing product (23% contribution, ₹4.48 Cr revenue)</a:t>
          </a:r>
        </a:p>
        <a:p>
          <a:pPr algn="l"/>
          <a:endParaRPr lang="en-IN" sz="1200" b="0" baseline="0">
            <a:solidFill>
              <a:schemeClr val="tx1"/>
            </a:solidFill>
          </a:endParaRPr>
        </a:p>
        <a:p>
          <a:pPr algn="l"/>
          <a:r>
            <a:rPr lang="en-IN" sz="1200" b="0" baseline="0">
              <a:solidFill>
                <a:schemeClr val="tx1"/>
              </a:solidFill>
            </a:rPr>
            <a:t>• Accessories category generates highest revenue (₹9.97 Cr), outperforming Electronics</a:t>
          </a:r>
        </a:p>
        <a:p>
          <a:pPr algn="l"/>
          <a:endParaRPr lang="en-IN" sz="1200" b="0" baseline="0">
            <a:solidFill>
              <a:schemeClr val="tx1"/>
            </a:solidFill>
          </a:endParaRPr>
        </a:p>
        <a:p>
          <a:pPr algn="l"/>
          <a:r>
            <a:rPr lang="en-IN" sz="1200" b="0" baseline="0">
              <a:solidFill>
                <a:schemeClr val="tx1"/>
              </a:solidFill>
            </a:rPr>
            <a:t>• North region leads in revenue, followed by West</a:t>
          </a:r>
        </a:p>
        <a:p>
          <a:pPr algn="l"/>
          <a:endParaRPr lang="en-IN" sz="1200" b="0" baseline="0">
            <a:solidFill>
              <a:schemeClr val="tx1"/>
            </a:solidFill>
          </a:endParaRPr>
        </a:p>
        <a:p>
          <a:pPr algn="l"/>
          <a:r>
            <a:rPr lang="en-IN" sz="1200" b="0" baseline="0">
              <a:solidFill>
                <a:schemeClr val="tx1"/>
              </a:solidFill>
            </a:rPr>
            <a:t>• January 2023 recorded the highest monthly revenue (₹1.92 Cr)</a:t>
          </a:r>
        </a:p>
        <a:p>
          <a:pPr algn="l"/>
          <a:endParaRPr lang="en-IN" sz="1200" b="0" baseline="0">
            <a:solidFill>
              <a:schemeClr val="tx1"/>
            </a:solidFill>
          </a:endParaRPr>
        </a:p>
        <a:p>
          <a:pPr algn="l"/>
          <a:r>
            <a:rPr lang="en-IN" sz="1200" b="0" baseline="0">
              <a:solidFill>
                <a:schemeClr val="tx1"/>
              </a:solidFill>
            </a:rPr>
            <a:t>• January 2024 shows a significant drop in sales and revenue</a:t>
          </a:r>
        </a:p>
        <a:p>
          <a:pPr algn="l"/>
          <a:endParaRPr lang="en-IN" sz="1200" b="0" baseline="0">
            <a:solidFill>
              <a:schemeClr val="tx1"/>
            </a:solidFill>
          </a:endParaRPr>
        </a:p>
        <a:p>
          <a:pPr algn="l"/>
          <a:r>
            <a:rPr lang="en-IN" sz="1200" b="0" baseline="0">
              <a:solidFill>
                <a:schemeClr val="tx1"/>
              </a:solidFill>
            </a:rPr>
            <a:t>• Total revenue generated: ₹19.54 Cr</a:t>
          </a:r>
        </a:p>
        <a:p>
          <a:pPr algn="l"/>
          <a:endParaRPr lang="en-IN" sz="1200" b="0" baseline="0">
            <a:solidFill>
              <a:schemeClr val="tx1"/>
            </a:solidFill>
            <a:effectLst/>
            <a:latin typeface="+mn-lt"/>
            <a:ea typeface="+mn-ea"/>
            <a:cs typeface="+mn-cs"/>
          </a:endParaRPr>
        </a:p>
        <a:p>
          <a:pPr algn="l"/>
          <a:r>
            <a:rPr lang="en-IN" sz="1100" b="0" baseline="0">
              <a:solidFill>
                <a:schemeClr val="tx1"/>
              </a:solidFill>
              <a:effectLst/>
              <a:latin typeface="+mn-lt"/>
              <a:ea typeface="+mn-ea"/>
              <a:cs typeface="+mn-cs"/>
            </a:rPr>
            <a:t>•</a:t>
          </a:r>
          <a:r>
            <a:rPr lang="en-IN" sz="1100" b="0" baseline="0">
              <a:solidFill>
                <a:schemeClr val="lt1"/>
              </a:solidFill>
              <a:effectLst/>
              <a:latin typeface="+mn-lt"/>
              <a:ea typeface="+mn-ea"/>
              <a:cs typeface="+mn-cs"/>
            </a:rPr>
            <a:t> </a:t>
          </a:r>
          <a:r>
            <a:rPr lang="en-IN" sz="1200" b="0" baseline="0">
              <a:solidFill>
                <a:schemeClr val="tx1"/>
              </a:solidFill>
            </a:rPr>
            <a:t>Sales are driven by Laptops and Accessories, with North region leading, while recent months show a decline requiring                                                                                           promotional strategies.</a:t>
          </a:r>
        </a:p>
        <a:p>
          <a:pPr algn="l"/>
          <a:r>
            <a:rPr lang="en-IN" sz="1200" b="0" baseline="0">
              <a:solidFill>
                <a:schemeClr val="tx1"/>
              </a:solidFill>
            </a:rPr>
            <a:t>           </a:t>
          </a:r>
        </a:p>
        <a:p>
          <a:pPr algn="l"/>
          <a:endParaRPr lang="en-IN" sz="1200" b="0" baseline="0">
            <a:solidFill>
              <a:schemeClr val="tx1"/>
            </a:solidFill>
          </a:endParaRPr>
        </a:p>
        <a:p>
          <a:pPr algn="l"/>
          <a:endParaRPr lang="en-IN" sz="1200" b="0" baseline="0">
            <a:solidFill>
              <a:schemeClr val="tx1"/>
            </a:solidFill>
          </a:endParaRPr>
        </a:p>
        <a:p>
          <a:pPr algn="l"/>
          <a:endParaRPr lang="en-IN" sz="1100" baseline="0"/>
        </a:p>
        <a:p>
          <a:pPr algn="l"/>
          <a:endParaRPr lang="en-IN" sz="1100"/>
        </a:p>
      </xdr:txBody>
    </xdr:sp>
    <xdr:clientData/>
  </xdr:twoCellAnchor>
  <xdr:twoCellAnchor>
    <xdr:from>
      <xdr:col>26</xdr:col>
      <xdr:colOff>243190</xdr:colOff>
      <xdr:row>25</xdr:row>
      <xdr:rowOff>158074</xdr:rowOff>
    </xdr:from>
    <xdr:to>
      <xdr:col>36</xdr:col>
      <xdr:colOff>24319</xdr:colOff>
      <xdr:row>37</xdr:row>
      <xdr:rowOff>72958</xdr:rowOff>
    </xdr:to>
    <xdr:sp macro="" textlink="">
      <xdr:nvSpPr>
        <xdr:cNvPr id="29" name="Rectangle 28">
          <a:extLst>
            <a:ext uri="{FF2B5EF4-FFF2-40B4-BE49-F238E27FC236}">
              <a16:creationId xmlns:a16="http://schemas.microsoft.com/office/drawing/2014/main" id="{A49AE944-F819-6302-4525-685625637520}"/>
            </a:ext>
          </a:extLst>
        </xdr:cNvPr>
        <xdr:cNvSpPr/>
      </xdr:nvSpPr>
      <xdr:spPr>
        <a:xfrm>
          <a:off x="17639488" y="4912468"/>
          <a:ext cx="6185171" cy="224952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8.536321990738" createdVersion="8" refreshedVersion="8" minRefreshableVersion="3" recordCount="1631" xr:uid="{8F2FBEE5-FF09-4FBD-8066-48C4D61D5EE9}">
  <cacheSource type="worksheet">
    <worksheetSource name="Table1"/>
  </cacheSource>
  <cacheFields count="14">
    <cacheField name="OrderID" numFmtId="0">
      <sharedItems/>
    </cacheField>
    <cacheField name="Date" numFmtId="164">
      <sharedItems containsSemiMixedTypes="0" containsNonDate="0" containsDate="1" containsString="0" minDate="2023-01-01T00:00:00" maxDate="2024-01-02T00:00:00" count="364">
        <d v="2023-06-06T00:00:00"/>
        <d v="2023-07-08T00:00:00"/>
        <d v="2023-07-28T00:00:00"/>
        <d v="2023-09-18T00:00:00"/>
        <d v="2023-07-17T00:00:00"/>
        <d v="2023-01-25T00:00:00"/>
        <d v="2023-12-22T00:00:00"/>
        <d v="2023-10-06T00:00:00"/>
        <d v="2023-10-07T00:00:00"/>
        <d v="2023-07-29T00:00:00"/>
        <d v="2023-03-02T00:00:00"/>
        <d v="2023-02-18T00:00:00"/>
        <d v="2023-06-10T00:00:00"/>
        <d v="2023-10-25T00:00:00"/>
        <d v="2023-11-01T00:00:00"/>
        <d v="2023-09-25T00:00:00"/>
        <d v="2023-04-24T00:00:00"/>
        <d v="2023-12-30T00:00:00"/>
        <d v="2023-12-18T00:00:00"/>
        <d v="2023-02-06T00:00:00"/>
        <d v="2023-04-21T00:00:00"/>
        <d v="2023-11-25T00:00:00"/>
        <d v="2023-05-10T00:00:00"/>
        <d v="2023-10-27T00:00:00"/>
        <d v="2023-06-30T00:00:00"/>
        <d v="2023-06-18T00:00:00"/>
        <d v="2023-02-20T00:00:00"/>
        <d v="2023-02-07T00:00:00"/>
        <d v="2023-03-08T00:00:00"/>
        <d v="2023-08-03T00:00:00"/>
        <d v="2023-01-17T00:00:00"/>
        <d v="2023-10-18T00:00:00"/>
        <d v="2023-12-17T00:00:00"/>
        <d v="2023-03-07T00:00:00"/>
        <d v="2023-08-19T00:00:00"/>
        <d v="2023-01-12T00:00:00"/>
        <d v="2023-11-27T00:00:00"/>
        <d v="2023-11-26T00:00:00"/>
        <d v="2023-03-20T00:00:00"/>
        <d v="2023-10-26T00:00:00"/>
        <d v="2023-05-03T00:00:00"/>
        <d v="2023-05-02T00:00:00"/>
        <d v="2023-07-01T00:00:00"/>
        <d v="2023-12-09T00:00:00"/>
        <d v="2023-03-11T00:00:00"/>
        <d v="2023-03-09T00:00:00"/>
        <d v="2023-10-20T00:00:00"/>
        <d v="2023-03-28T00:00:00"/>
        <d v="2023-01-02T00:00:00"/>
        <d v="2023-01-03T00:00:00"/>
        <d v="2023-06-24T00:00:00"/>
        <d v="2023-08-17T00:00:00"/>
        <d v="2023-07-03T00:00:00"/>
        <d v="2023-03-05T00:00:00"/>
        <d v="2023-12-01T00:00:00"/>
        <d v="2023-09-22T00:00:00"/>
        <d v="2023-09-16T00:00:00"/>
        <d v="2023-10-31T00:00:00"/>
        <d v="2023-12-20T00:00:00"/>
        <d v="2023-10-11T00:00:00"/>
        <d v="2023-04-19T00:00:00"/>
        <d v="2023-04-03T00:00:00"/>
        <d v="2023-09-06T00:00:00"/>
        <d v="2023-12-06T00:00:00"/>
        <d v="2023-09-23T00:00:00"/>
        <d v="2023-12-05T00:00:00"/>
        <d v="2023-05-06T00:00:00"/>
        <d v="2023-02-01T00:00:00"/>
        <d v="2023-08-09T00:00:00"/>
        <d v="2023-07-07T00:00:00"/>
        <d v="2023-03-31T00:00:00"/>
        <d v="2023-09-17T00:00:00"/>
        <d v="2023-01-16T00:00:00"/>
        <d v="2023-08-18T00:00:00"/>
        <d v="2023-03-14T00:00:00"/>
        <d v="2023-04-08T00:00:00"/>
        <d v="2023-08-05T00:00:00"/>
        <d v="2023-06-26T00:00:00"/>
        <d v="2023-11-08T00:00:00"/>
        <d v="2023-06-23T00:00:00"/>
        <d v="2023-01-01T00:00:00"/>
        <d v="2023-10-13T00:00:00"/>
        <d v="2023-07-30T00:00:00"/>
        <d v="2023-08-11T00:00:00"/>
        <d v="2023-09-07T00:00:00"/>
        <d v="2023-03-17T00:00:00"/>
        <d v="2023-07-24T00:00:00"/>
        <d v="2023-03-16T00:00:00"/>
        <d v="2023-07-16T00:00:00"/>
        <d v="2023-08-04T00:00:00"/>
        <d v="2023-12-15T00:00:00"/>
        <d v="2023-05-01T00:00:00"/>
        <d v="2023-04-20T00:00:00"/>
        <d v="2023-02-16T00:00:00"/>
        <d v="2023-05-08T00:00:00"/>
        <d v="2023-04-04T00:00:00"/>
        <d v="2023-06-25T00:00:00"/>
        <d v="2023-10-09T00:00:00"/>
        <d v="2023-02-11T00:00:00"/>
        <d v="2023-07-25T00:00:00"/>
        <d v="2023-06-16T00:00:00"/>
        <d v="2023-01-08T00:00:00"/>
        <d v="2023-11-09T00:00:00"/>
        <d v="2023-06-27T00:00:00"/>
        <d v="2023-09-02T00:00:00"/>
        <d v="2023-09-26T00:00:00"/>
        <d v="2023-05-09T00:00:00"/>
        <d v="2023-05-15T00:00:00"/>
        <d v="2023-12-16T00:00:00"/>
        <d v="2023-06-01T00:00:00"/>
        <d v="2023-05-25T00:00:00"/>
        <d v="2023-02-22T00:00:00"/>
        <d v="2023-04-18T00:00:00"/>
        <d v="2023-02-19T00:00:00"/>
        <d v="2023-10-16T00:00:00"/>
        <d v="2023-07-31T00:00:00"/>
        <d v="2023-01-21T00:00:00"/>
        <d v="2023-05-21T00:00:00"/>
        <d v="2023-04-29T00:00:00"/>
        <d v="2023-06-08T00:00:00"/>
        <d v="2023-07-22T00:00:00"/>
        <d v="2023-09-09T00:00:00"/>
        <d v="2023-02-25T00:00:00"/>
        <d v="2023-11-30T00:00:00"/>
        <d v="2023-06-13T00:00:00"/>
        <d v="2023-01-11T00:00:00"/>
        <d v="2023-07-10T00:00:00"/>
        <d v="2023-08-01T00:00:00"/>
        <d v="2023-10-04T00:00:00"/>
        <d v="2023-04-15T00:00:00"/>
        <d v="2023-01-26T00:00:00"/>
        <d v="2023-01-05T00:00:00"/>
        <d v="2023-11-17T00:00:00"/>
        <d v="2023-05-19T00:00:00"/>
        <d v="2023-03-18T00:00:00"/>
        <d v="2023-10-08T00:00:00"/>
        <d v="2023-08-31T00:00:00"/>
        <d v="2023-06-19T00:00:00"/>
        <d v="2023-12-03T00:00:00"/>
        <d v="2023-02-10T00:00:00"/>
        <d v="2023-06-07T00:00:00"/>
        <d v="2023-11-12T00:00:00"/>
        <d v="2023-08-27T00:00:00"/>
        <d v="2023-10-23T00:00:00"/>
        <d v="2023-07-23T00:00:00"/>
        <d v="2023-01-06T00:00:00"/>
        <d v="2023-04-12T00:00:00"/>
        <d v="2023-03-04T00:00:00"/>
        <d v="2023-05-22T00:00:00"/>
        <d v="2023-08-08T00:00:00"/>
        <d v="2023-12-08T00:00:00"/>
        <d v="2023-08-10T00:00:00"/>
        <d v="2023-01-27T00:00:00"/>
        <d v="2023-08-13T00:00:00"/>
        <d v="2023-09-29T00:00:00"/>
        <d v="2023-11-04T00:00:00"/>
        <d v="2023-01-09T00:00:00"/>
        <d v="2023-08-07T00:00:00"/>
        <d v="2023-04-05T00:00:00"/>
        <d v="2023-03-26T00:00:00"/>
        <d v="2023-06-21T00:00:00"/>
        <d v="2023-03-01T00:00:00"/>
        <d v="2023-09-20T00:00:00"/>
        <d v="2023-06-15T00:00:00"/>
        <d v="2023-03-21T00:00:00"/>
        <d v="2023-03-13T00:00:00"/>
        <d v="2023-09-11T00:00:00"/>
        <d v="2023-05-16T00:00:00"/>
        <d v="2023-09-14T00:00:00"/>
        <d v="2023-11-15T00:00:00"/>
        <d v="2023-04-13T00:00:00"/>
        <d v="2023-09-21T00:00:00"/>
        <d v="2023-01-04T00:00:00"/>
        <d v="2023-06-12T00:00:00"/>
        <d v="2023-10-24T00:00:00"/>
        <d v="2023-12-26T00:00:00"/>
        <d v="2023-09-12T00:00:00"/>
        <d v="2023-07-13T00:00:00"/>
        <d v="2023-07-26T00:00:00"/>
        <d v="2023-02-21T00:00:00"/>
        <d v="2023-05-07T00:00:00"/>
        <d v="2023-03-12T00:00:00"/>
        <d v="2023-04-11T00:00:00"/>
        <d v="2023-03-23T00:00:00"/>
        <d v="2023-06-20T00:00:00"/>
        <d v="2023-01-20T00:00:00"/>
        <d v="2023-04-27T00:00:00"/>
        <d v="2023-01-07T00:00:00"/>
        <d v="2023-09-24T00:00:00"/>
        <d v="2023-11-03T00:00:00"/>
        <d v="2023-08-24T00:00:00"/>
        <d v="2023-04-07T00:00:00"/>
        <d v="2023-01-19T00:00:00"/>
        <d v="2023-08-20T00:00:00"/>
        <d v="2023-08-16T00:00:00"/>
        <d v="2023-10-12T00:00:00"/>
        <d v="2023-01-18T00:00:00"/>
        <d v="2023-01-23T00:00:00"/>
        <d v="2023-03-10T00:00:00"/>
        <d v="2023-05-12T00:00:00"/>
        <d v="2023-12-21T00:00:00"/>
        <d v="2023-08-15T00:00:00"/>
        <d v="2023-10-22T00:00:00"/>
        <d v="2023-12-19T00:00:00"/>
        <d v="2023-07-06T00:00:00"/>
        <d v="2023-12-14T00:00:00"/>
        <d v="2023-12-12T00:00:00"/>
        <d v="2023-07-20T00:00:00"/>
        <d v="2023-12-29T00:00:00"/>
        <d v="2023-01-30T00:00:00"/>
        <d v="2023-07-05T00:00:00"/>
        <d v="2023-02-02T00:00:00"/>
        <d v="2023-09-27T00:00:00"/>
        <d v="2023-11-02T00:00:00"/>
        <d v="2023-11-07T00:00:00"/>
        <d v="2023-02-27T00:00:00"/>
        <d v="2023-11-10T00:00:00"/>
        <d v="2023-11-19T00:00:00"/>
        <d v="2023-08-28T00:00:00"/>
        <d v="2023-09-01T00:00:00"/>
        <d v="2023-11-28T00:00:00"/>
        <d v="2023-03-29T00:00:00"/>
        <d v="2023-12-31T00:00:00"/>
        <d v="2023-03-24T00:00:00"/>
        <d v="2023-02-14T00:00:00"/>
        <d v="2023-07-09T00:00:00"/>
        <d v="2023-08-29T00:00:00"/>
        <d v="2023-08-30T00:00:00"/>
        <d v="2023-02-09T00:00:00"/>
        <d v="2023-01-28T00:00:00"/>
        <d v="2023-02-03T00:00:00"/>
        <d v="2023-01-31T00:00:00"/>
        <d v="2023-05-04T00:00:00"/>
        <d v="2023-05-23T00:00:00"/>
        <d v="2023-10-05T00:00:00"/>
        <d v="2023-04-17T00:00:00"/>
        <d v="2023-09-03T00:00:00"/>
        <d v="2023-12-24T00:00:00"/>
        <d v="2023-02-24T00:00:00"/>
        <d v="2023-05-14T00:00:00"/>
        <d v="2023-10-21T00:00:00"/>
        <d v="2023-08-06T00:00:00"/>
        <d v="2023-02-04T00:00:00"/>
        <d v="2023-11-24T00:00:00"/>
        <d v="2023-06-09T00:00:00"/>
        <d v="2023-10-30T00:00:00"/>
        <d v="2023-04-09T00:00:00"/>
        <d v="2023-04-02T00:00:00"/>
        <d v="2023-10-17T00:00:00"/>
        <d v="2023-12-11T00:00:00"/>
        <d v="2023-05-18T00:00:00"/>
        <d v="2023-02-26T00:00:00"/>
        <d v="2023-08-02T00:00:00"/>
        <d v="2023-11-06T00:00:00"/>
        <d v="2023-04-14T00:00:00"/>
        <d v="2023-04-26T00:00:00"/>
        <d v="2023-05-17T00:00:00"/>
        <d v="2023-11-21T00:00:00"/>
        <d v="2023-01-22T00:00:00"/>
        <d v="2023-06-05T00:00:00"/>
        <d v="2023-08-12T00:00:00"/>
        <d v="2023-01-10T00:00:00"/>
        <d v="2023-10-10T00:00:00"/>
        <d v="2023-07-15T00:00:00"/>
        <d v="2023-12-27T00:00:00"/>
        <d v="2023-06-03T00:00:00"/>
        <d v="2023-09-15T00:00:00"/>
        <d v="2023-05-05T00:00:00"/>
        <d v="2023-05-13T00:00:00"/>
        <d v="2023-10-02T00:00:00"/>
        <d v="2023-03-03T00:00:00"/>
        <d v="2023-08-25T00:00:00"/>
        <d v="2023-01-29T00:00:00"/>
        <d v="2023-04-23T00:00:00"/>
        <d v="2023-06-04T00:00:00"/>
        <d v="2023-05-30T00:00:00"/>
        <d v="2023-10-01T00:00:00"/>
        <d v="2023-04-06T00:00:00"/>
        <d v="2023-11-05T00:00:00"/>
        <d v="2023-12-25T00:00:00"/>
        <d v="2023-06-14T00:00:00"/>
        <d v="2023-06-22T00:00:00"/>
        <d v="2023-03-15T00:00:00"/>
        <d v="2023-03-22T00:00:00"/>
        <d v="2023-11-18T00:00:00"/>
        <d v="2023-09-05T00:00:00"/>
        <d v="2023-05-11T00:00:00"/>
        <d v="2023-12-10T00:00:00"/>
        <d v="2023-01-24T00:00:00"/>
        <d v="2023-06-17T00:00:00"/>
        <d v="2023-02-05T00:00:00"/>
        <d v="2023-04-22T00:00:00"/>
        <d v="2023-04-25T00:00:00"/>
        <d v="2023-01-13T00:00:00"/>
        <d v="2023-03-06T00:00:00"/>
        <d v="2023-09-04T00:00:00"/>
        <d v="2023-11-22T00:00:00"/>
        <d v="2023-10-28T00:00:00"/>
        <d v="2023-12-02T00:00:00"/>
        <d v="2024-01-01T00:00:00"/>
        <d v="2023-03-19T00:00:00"/>
        <d v="2023-07-27T00:00:00"/>
        <d v="2023-06-11T00:00:00"/>
        <d v="2023-04-28T00:00:00"/>
        <d v="2023-05-24T00:00:00"/>
        <d v="2023-03-27T00:00:00"/>
        <d v="2023-02-15T00:00:00"/>
        <d v="2023-05-28T00:00:00"/>
        <d v="2023-07-18T00:00:00"/>
        <d v="2023-01-15T00:00:00"/>
        <d v="2023-07-04T00:00:00"/>
        <d v="2023-05-20T00:00:00"/>
        <d v="2023-09-08T00:00:00"/>
        <d v="2023-09-30T00:00:00"/>
        <d v="2023-10-29T00:00:00"/>
        <d v="2023-10-14T00:00:00"/>
        <d v="2023-06-28T00:00:00"/>
        <d v="2023-11-11T00:00:00"/>
        <d v="2023-08-21T00:00:00"/>
        <d v="2023-03-25T00:00:00"/>
        <d v="2023-12-07T00:00:00"/>
        <d v="2023-04-01T00:00:00"/>
        <d v="2023-11-29T00:00:00"/>
        <d v="2023-05-29T00:00:00"/>
        <d v="2023-08-14T00:00:00"/>
        <d v="2023-07-02T00:00:00"/>
        <d v="2023-08-22T00:00:00"/>
        <d v="2023-04-16T00:00:00"/>
        <d v="2023-09-10T00:00:00"/>
        <d v="2023-12-28T00:00:00"/>
        <d v="2023-08-26T00:00:00"/>
        <d v="2023-07-21T00:00:00"/>
        <d v="2023-04-30T00:00:00"/>
        <d v="2023-09-13T00:00:00"/>
        <d v="2023-09-28T00:00:00"/>
        <d v="2023-12-23T00:00:00"/>
        <d v="2023-05-27T00:00:00"/>
        <d v="2023-11-14T00:00:00"/>
        <d v="2023-09-19T00:00:00"/>
        <d v="2023-04-10T00:00:00"/>
        <d v="2023-07-19T00:00:00"/>
        <d v="2023-07-11T00:00:00"/>
        <d v="2023-02-17T00:00:00"/>
        <d v="2023-11-23T00:00:00"/>
        <d v="2023-11-16T00:00:00"/>
        <d v="2023-05-26T00:00:00"/>
        <d v="2023-05-31T00:00:00"/>
        <d v="2023-12-13T00:00:00"/>
        <d v="2023-10-03T00:00:00"/>
        <d v="2023-02-08T00:00:00"/>
        <d v="2023-10-19T00:00:00"/>
        <d v="2023-12-04T00:00:00"/>
        <d v="2023-07-12T00:00:00"/>
        <d v="2023-02-12T00:00:00"/>
        <d v="2023-02-13T00:00:00"/>
        <d v="2023-11-13T00:00:00"/>
        <d v="2023-08-23T00:00:00"/>
        <d v="2023-03-30T00:00:00"/>
        <d v="2023-01-14T00:00:00"/>
        <d v="2023-06-29T00:00:00"/>
        <d v="2023-07-14T00:00:00"/>
        <d v="2023-06-02T00:00:00"/>
        <d v="2023-02-28T00:00:00"/>
        <d v="2023-10-15T00:00:00"/>
      </sharedItems>
      <fieldGroup par="13"/>
    </cacheField>
    <cacheField name="Region" numFmtId="0">
      <sharedItems count="4">
        <s v="East"/>
        <s v="North"/>
        <s v="West"/>
        <s v="South"/>
      </sharedItems>
    </cacheField>
    <cacheField name="Product" numFmtId="0">
      <sharedItems count="5">
        <s v="Laptop"/>
        <s v="Headphones"/>
        <s v="Phone"/>
        <s v="Tablet"/>
        <s v="Monitor"/>
      </sharedItems>
    </cacheField>
    <cacheField name="Category" numFmtId="0">
      <sharedItems count="2">
        <s v="Electronics"/>
        <s v="Accessories"/>
      </sharedItems>
    </cacheField>
    <cacheField name="Customer" numFmtId="0">
      <sharedItems/>
    </cacheField>
    <cacheField name="Sales" numFmtId="0">
      <sharedItems containsSemiMixedTypes="0" containsString="0" containsNumber="1" containsInteger="1" minValue="34" maxValue="49981"/>
    </cacheField>
    <cacheField name="Quantity" numFmtId="0">
      <sharedItems containsSemiMixedTypes="0" containsString="0" containsNumber="1" containsInteger="1" minValue="1" maxValue="10"/>
    </cacheField>
    <cacheField name="Discount" numFmtId="0">
      <sharedItems containsSemiMixedTypes="0" containsString="0" containsNumber="1" containsInteger="1" minValue="0" maxValue="30"/>
    </cacheField>
    <cacheField name="PaymentMode" numFmtId="0">
      <sharedItems count="3">
        <s v="Card"/>
        <s v="Cash"/>
        <s v="UPI"/>
      </sharedItems>
    </cacheField>
    <cacheField name="Revenue" numFmtId="166">
      <sharedItems containsSemiMixedTypes="0" containsString="0" containsNumber="1" containsInteger="1" minValue="306" maxValue="497620"/>
    </cacheField>
    <cacheField name="Net Revenue" numFmtId="166">
      <sharedItems containsSemiMixedTypes="0" containsString="0" containsNumber="1" minValue="232.56" maxValue="487667.6"/>
    </cacheField>
    <cacheField name="Months (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Years (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14854271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1">
  <r>
    <s v="ORD1"/>
    <x v="0"/>
    <x v="0"/>
    <x v="0"/>
    <x v="0"/>
    <s v="Ravi"/>
    <n v="2758"/>
    <n v="2"/>
    <n v="19"/>
    <x v="0"/>
    <n v="5516"/>
    <n v="4467.96"/>
  </r>
  <r>
    <s v="ORD2"/>
    <x v="1"/>
    <x v="1"/>
    <x v="1"/>
    <x v="1"/>
    <s v="Ravi"/>
    <n v="38520"/>
    <n v="5"/>
    <n v="12"/>
    <x v="0"/>
    <n v="192600"/>
    <n v="169488"/>
  </r>
  <r>
    <s v="ORD3"/>
    <x v="2"/>
    <x v="0"/>
    <x v="0"/>
    <x v="0"/>
    <s v="Sneha"/>
    <n v="36551"/>
    <n v="3"/>
    <n v="24"/>
    <x v="1"/>
    <n v="109653"/>
    <n v="83336.28"/>
  </r>
  <r>
    <s v="ORD4"/>
    <x v="3"/>
    <x v="2"/>
    <x v="0"/>
    <x v="1"/>
    <s v="Ravi"/>
    <n v="47910"/>
    <n v="7"/>
    <n v="25"/>
    <x v="2"/>
    <n v="335370"/>
    <n v="251527.5"/>
  </r>
  <r>
    <s v="ORD5"/>
    <x v="4"/>
    <x v="2"/>
    <x v="2"/>
    <x v="1"/>
    <s v="Sneha"/>
    <n v="39219"/>
    <n v="6"/>
    <n v="4"/>
    <x v="1"/>
    <n v="235314"/>
    <n v="225901.44"/>
  </r>
  <r>
    <s v="ORD6"/>
    <x v="5"/>
    <x v="2"/>
    <x v="0"/>
    <x v="0"/>
    <s v="Anjali"/>
    <n v="34626"/>
    <n v="6"/>
    <n v="22"/>
    <x v="2"/>
    <n v="207756"/>
    <n v="162049.68"/>
  </r>
  <r>
    <s v="ORD7"/>
    <x v="6"/>
    <x v="3"/>
    <x v="0"/>
    <x v="1"/>
    <s v="Sneha"/>
    <n v="25986"/>
    <n v="7"/>
    <n v="7"/>
    <x v="2"/>
    <n v="181902"/>
    <n v="169168.86"/>
  </r>
  <r>
    <s v="ORD8"/>
    <x v="7"/>
    <x v="3"/>
    <x v="3"/>
    <x v="1"/>
    <s v="Sneha"/>
    <n v="14395"/>
    <n v="1"/>
    <n v="29"/>
    <x v="0"/>
    <n v="14395"/>
    <n v="10220.450000000001"/>
  </r>
  <r>
    <s v="ORD9"/>
    <x v="8"/>
    <x v="2"/>
    <x v="0"/>
    <x v="0"/>
    <s v="Rahul"/>
    <n v="39435"/>
    <n v="3"/>
    <n v="14"/>
    <x v="1"/>
    <n v="118305"/>
    <n v="101742.3"/>
  </r>
  <r>
    <s v="ORD10"/>
    <x v="9"/>
    <x v="0"/>
    <x v="0"/>
    <x v="1"/>
    <s v="Anjali"/>
    <n v="22252"/>
    <n v="8"/>
    <n v="23"/>
    <x v="0"/>
    <n v="178016"/>
    <n v="137072.32000000001"/>
  </r>
  <r>
    <s v="ORD11"/>
    <x v="10"/>
    <x v="1"/>
    <x v="4"/>
    <x v="1"/>
    <s v="Amit"/>
    <n v="14481"/>
    <n v="9"/>
    <n v="16"/>
    <x v="2"/>
    <n v="130329"/>
    <n v="109476.36"/>
  </r>
  <r>
    <s v="ORD13"/>
    <x v="11"/>
    <x v="2"/>
    <x v="3"/>
    <x v="0"/>
    <s v="Rahul"/>
    <n v="10274"/>
    <n v="4"/>
    <n v="1"/>
    <x v="0"/>
    <n v="41096"/>
    <n v="40685.040000000001"/>
  </r>
  <r>
    <s v="ORD14"/>
    <x v="12"/>
    <x v="1"/>
    <x v="1"/>
    <x v="1"/>
    <s v="Rahul"/>
    <n v="47680"/>
    <n v="1"/>
    <n v="20"/>
    <x v="2"/>
    <n v="47680"/>
    <n v="38144"/>
  </r>
  <r>
    <s v="ORD17"/>
    <x v="13"/>
    <x v="1"/>
    <x v="1"/>
    <x v="0"/>
    <s v="Sneha"/>
    <n v="6296"/>
    <n v="8"/>
    <n v="29"/>
    <x v="2"/>
    <n v="50368"/>
    <n v="35761.279999999999"/>
  </r>
  <r>
    <s v="ORD18"/>
    <x v="14"/>
    <x v="0"/>
    <x v="2"/>
    <x v="1"/>
    <s v="Anjali"/>
    <n v="2299"/>
    <n v="7"/>
    <n v="13"/>
    <x v="0"/>
    <n v="16093"/>
    <n v="14000.91"/>
  </r>
  <r>
    <s v="ORD19"/>
    <x v="15"/>
    <x v="0"/>
    <x v="2"/>
    <x v="1"/>
    <s v="Anjali"/>
    <n v="11398"/>
    <n v="6"/>
    <n v="15"/>
    <x v="2"/>
    <n v="68388"/>
    <n v="58129.8"/>
  </r>
  <r>
    <s v="ORD21"/>
    <x v="16"/>
    <x v="0"/>
    <x v="3"/>
    <x v="1"/>
    <s v="Sneha"/>
    <n v="38692"/>
    <n v="8"/>
    <n v="25"/>
    <x v="1"/>
    <n v="309536"/>
    <n v="232152"/>
  </r>
  <r>
    <s v="ORD22"/>
    <x v="17"/>
    <x v="3"/>
    <x v="4"/>
    <x v="1"/>
    <s v="Priya"/>
    <n v="9573"/>
    <n v="6"/>
    <n v="24"/>
    <x v="1"/>
    <n v="57438"/>
    <n v="43652.88"/>
  </r>
  <r>
    <s v="ORD23"/>
    <x v="18"/>
    <x v="0"/>
    <x v="0"/>
    <x v="1"/>
    <s v="Anjali"/>
    <n v="47623"/>
    <n v="7"/>
    <n v="6"/>
    <x v="1"/>
    <n v="333361"/>
    <n v="313359.34000000003"/>
  </r>
  <r>
    <s v="ORD24"/>
    <x v="19"/>
    <x v="0"/>
    <x v="2"/>
    <x v="1"/>
    <s v="Rahul"/>
    <n v="30847"/>
    <n v="7"/>
    <n v="7"/>
    <x v="0"/>
    <n v="215929"/>
    <n v="200813.97"/>
  </r>
  <r>
    <s v="ORD25"/>
    <x v="20"/>
    <x v="3"/>
    <x v="3"/>
    <x v="1"/>
    <s v="Rahul"/>
    <n v="10707"/>
    <n v="6"/>
    <n v="1"/>
    <x v="2"/>
    <n v="64242"/>
    <n v="63599.58"/>
  </r>
  <r>
    <s v="ORD26"/>
    <x v="21"/>
    <x v="2"/>
    <x v="4"/>
    <x v="1"/>
    <s v="Kiran"/>
    <n v="17733"/>
    <n v="3"/>
    <n v="4"/>
    <x v="0"/>
    <n v="53199"/>
    <n v="51071.040000000001"/>
  </r>
  <r>
    <s v="ORD27"/>
    <x v="22"/>
    <x v="3"/>
    <x v="3"/>
    <x v="1"/>
    <s v="Ravi"/>
    <n v="888"/>
    <n v="7"/>
    <n v="17"/>
    <x v="0"/>
    <n v="6216"/>
    <n v="5159.28"/>
  </r>
  <r>
    <s v="ORD29"/>
    <x v="23"/>
    <x v="1"/>
    <x v="4"/>
    <x v="0"/>
    <s v="Sneha"/>
    <n v="20542"/>
    <n v="8"/>
    <n v="22"/>
    <x v="0"/>
    <n v="164336"/>
    <n v="128182.08"/>
  </r>
  <r>
    <s v="ORD30"/>
    <x v="24"/>
    <x v="0"/>
    <x v="0"/>
    <x v="0"/>
    <s v="Anjali"/>
    <n v="33214"/>
    <n v="2"/>
    <n v="18"/>
    <x v="0"/>
    <n v="66428"/>
    <n v="54470.96"/>
  </r>
  <r>
    <s v="ORD31"/>
    <x v="25"/>
    <x v="3"/>
    <x v="3"/>
    <x v="0"/>
    <s v="Ravi"/>
    <n v="40062"/>
    <n v="7"/>
    <n v="13"/>
    <x v="2"/>
    <n v="280434"/>
    <n v="243977.58000000002"/>
  </r>
  <r>
    <s v="ORD32"/>
    <x v="26"/>
    <x v="0"/>
    <x v="2"/>
    <x v="0"/>
    <s v="Ravi"/>
    <n v="10451"/>
    <n v="2"/>
    <n v="18"/>
    <x v="2"/>
    <n v="20902"/>
    <n v="17139.64"/>
  </r>
  <r>
    <s v="ORD33"/>
    <x v="27"/>
    <x v="2"/>
    <x v="1"/>
    <x v="1"/>
    <s v="Priya"/>
    <n v="20204"/>
    <n v="6"/>
    <n v="13"/>
    <x v="0"/>
    <n v="121224"/>
    <n v="105464.88"/>
  </r>
  <r>
    <s v="ORD34"/>
    <x v="28"/>
    <x v="0"/>
    <x v="3"/>
    <x v="0"/>
    <s v="Rahul"/>
    <n v="5079"/>
    <n v="10"/>
    <n v="21"/>
    <x v="0"/>
    <n v="50790"/>
    <n v="40124.1"/>
  </r>
  <r>
    <s v="ORD35"/>
    <x v="29"/>
    <x v="0"/>
    <x v="1"/>
    <x v="1"/>
    <s v="Ravi"/>
    <n v="36020"/>
    <n v="4"/>
    <n v="5"/>
    <x v="0"/>
    <n v="144080"/>
    <n v="136876"/>
  </r>
  <r>
    <s v="ORD36"/>
    <x v="30"/>
    <x v="1"/>
    <x v="4"/>
    <x v="0"/>
    <s v="Kiran"/>
    <n v="40470"/>
    <n v="10"/>
    <n v="0"/>
    <x v="0"/>
    <n v="404700"/>
    <n v="404700"/>
  </r>
  <r>
    <s v="ORD37"/>
    <x v="31"/>
    <x v="3"/>
    <x v="4"/>
    <x v="1"/>
    <s v="Amit"/>
    <n v="20072"/>
    <n v="1"/>
    <n v="23"/>
    <x v="1"/>
    <n v="20072"/>
    <n v="15455.439999999999"/>
  </r>
  <r>
    <s v="ORD38"/>
    <x v="24"/>
    <x v="1"/>
    <x v="2"/>
    <x v="1"/>
    <s v="Anjali"/>
    <n v="46004"/>
    <n v="4"/>
    <n v="7"/>
    <x v="2"/>
    <n v="184016"/>
    <n v="171134.88"/>
  </r>
  <r>
    <s v="ORD39"/>
    <x v="32"/>
    <x v="0"/>
    <x v="0"/>
    <x v="1"/>
    <s v="Kiran"/>
    <n v="37799"/>
    <n v="3"/>
    <n v="9"/>
    <x v="2"/>
    <n v="113397"/>
    <n v="103191.27"/>
  </r>
  <r>
    <s v="ORD40"/>
    <x v="33"/>
    <x v="1"/>
    <x v="3"/>
    <x v="1"/>
    <s v="Rahul"/>
    <n v="41923"/>
    <n v="1"/>
    <n v="9"/>
    <x v="2"/>
    <n v="41923"/>
    <n v="38149.93"/>
  </r>
  <r>
    <s v="ORD41"/>
    <x v="34"/>
    <x v="1"/>
    <x v="1"/>
    <x v="0"/>
    <s v="Ravi"/>
    <n v="11342"/>
    <n v="8"/>
    <n v="30"/>
    <x v="1"/>
    <n v="90736"/>
    <n v="63515.199999999997"/>
  </r>
  <r>
    <s v="ORD42"/>
    <x v="35"/>
    <x v="1"/>
    <x v="2"/>
    <x v="0"/>
    <s v="Amit"/>
    <n v="36624"/>
    <n v="3"/>
    <n v="3"/>
    <x v="0"/>
    <n v="109872"/>
    <n v="106575.84"/>
  </r>
  <r>
    <s v="ORD43"/>
    <x v="36"/>
    <x v="1"/>
    <x v="3"/>
    <x v="1"/>
    <s v="Rahul"/>
    <n v="12553"/>
    <n v="9"/>
    <n v="19"/>
    <x v="1"/>
    <n v="112977"/>
    <n v="91511.37"/>
  </r>
  <r>
    <s v="ORD45"/>
    <x v="37"/>
    <x v="3"/>
    <x v="2"/>
    <x v="0"/>
    <s v="Amit"/>
    <n v="2674"/>
    <n v="5"/>
    <n v="14"/>
    <x v="2"/>
    <n v="13370"/>
    <n v="11498.2"/>
  </r>
  <r>
    <s v="ORD46"/>
    <x v="38"/>
    <x v="0"/>
    <x v="0"/>
    <x v="0"/>
    <s v="Priya"/>
    <n v="9199"/>
    <n v="6"/>
    <n v="28"/>
    <x v="0"/>
    <n v="55194"/>
    <n v="39739.68"/>
  </r>
  <r>
    <s v="ORD47"/>
    <x v="39"/>
    <x v="3"/>
    <x v="0"/>
    <x v="0"/>
    <s v="Amit"/>
    <n v="14732"/>
    <n v="9"/>
    <n v="30"/>
    <x v="0"/>
    <n v="132588"/>
    <n v="92811.6"/>
  </r>
  <r>
    <s v="ORD48"/>
    <x v="40"/>
    <x v="3"/>
    <x v="1"/>
    <x v="0"/>
    <s v="Sneha"/>
    <n v="40586"/>
    <n v="10"/>
    <n v="1"/>
    <x v="0"/>
    <n v="405860"/>
    <n v="401801.4"/>
  </r>
  <r>
    <s v="ORD49"/>
    <x v="41"/>
    <x v="1"/>
    <x v="4"/>
    <x v="1"/>
    <s v="Amit"/>
    <n v="21956"/>
    <n v="8"/>
    <n v="25"/>
    <x v="0"/>
    <n v="175648"/>
    <n v="131736"/>
  </r>
  <r>
    <s v="ORD50"/>
    <x v="42"/>
    <x v="0"/>
    <x v="3"/>
    <x v="1"/>
    <s v="Sneha"/>
    <n v="48078"/>
    <n v="6"/>
    <n v="16"/>
    <x v="2"/>
    <n v="288468"/>
    <n v="242313.12"/>
  </r>
  <r>
    <s v="ORD51"/>
    <x v="43"/>
    <x v="1"/>
    <x v="0"/>
    <x v="0"/>
    <s v="Kiran"/>
    <n v="14076"/>
    <n v="9"/>
    <n v="5"/>
    <x v="2"/>
    <n v="126684"/>
    <n v="120349.8"/>
  </r>
  <r>
    <s v="ORD54"/>
    <x v="44"/>
    <x v="2"/>
    <x v="4"/>
    <x v="0"/>
    <s v="Priya"/>
    <n v="40687"/>
    <n v="4"/>
    <n v="15"/>
    <x v="0"/>
    <n v="162748"/>
    <n v="138335.79999999999"/>
  </r>
  <r>
    <s v="ORD55"/>
    <x v="45"/>
    <x v="0"/>
    <x v="3"/>
    <x v="1"/>
    <s v="Anjali"/>
    <n v="39790"/>
    <n v="5"/>
    <n v="17"/>
    <x v="0"/>
    <n v="198950"/>
    <n v="165128.5"/>
  </r>
  <r>
    <s v="ORD56"/>
    <x v="46"/>
    <x v="3"/>
    <x v="4"/>
    <x v="1"/>
    <s v="Priya"/>
    <n v="37954"/>
    <n v="6"/>
    <n v="29"/>
    <x v="0"/>
    <n v="227724"/>
    <n v="161684.03999999998"/>
  </r>
  <r>
    <s v="ORD57"/>
    <x v="47"/>
    <x v="3"/>
    <x v="3"/>
    <x v="1"/>
    <s v="Amit"/>
    <n v="35848"/>
    <n v="10"/>
    <n v="12"/>
    <x v="2"/>
    <n v="358480"/>
    <n v="315462.40000000002"/>
  </r>
  <r>
    <s v="ORD58"/>
    <x v="36"/>
    <x v="0"/>
    <x v="3"/>
    <x v="1"/>
    <s v="Sneha"/>
    <n v="15152"/>
    <n v="10"/>
    <n v="19"/>
    <x v="2"/>
    <n v="151520"/>
    <n v="122731.2"/>
  </r>
  <r>
    <s v="ORD60"/>
    <x v="37"/>
    <x v="3"/>
    <x v="4"/>
    <x v="0"/>
    <s v="Priya"/>
    <n v="30045"/>
    <n v="1"/>
    <n v="5"/>
    <x v="2"/>
    <n v="30045"/>
    <n v="28542.75"/>
  </r>
  <r>
    <s v="ORD61"/>
    <x v="48"/>
    <x v="0"/>
    <x v="2"/>
    <x v="0"/>
    <s v="Rahul"/>
    <n v="47879"/>
    <n v="8"/>
    <n v="14"/>
    <x v="1"/>
    <n v="383032"/>
    <n v="329407.52"/>
  </r>
  <r>
    <s v="ORD62"/>
    <x v="49"/>
    <x v="2"/>
    <x v="0"/>
    <x v="0"/>
    <s v="Amit"/>
    <n v="32135"/>
    <n v="1"/>
    <n v="28"/>
    <x v="2"/>
    <n v="32135"/>
    <n v="23137.200000000001"/>
  </r>
  <r>
    <s v="ORD64"/>
    <x v="50"/>
    <x v="2"/>
    <x v="3"/>
    <x v="1"/>
    <s v="Rahul"/>
    <n v="40765"/>
    <n v="6"/>
    <n v="27"/>
    <x v="2"/>
    <n v="244590"/>
    <n v="178550.7"/>
  </r>
  <r>
    <s v="ORD65"/>
    <x v="21"/>
    <x v="3"/>
    <x v="3"/>
    <x v="1"/>
    <s v="Rahul"/>
    <n v="4041"/>
    <n v="1"/>
    <n v="16"/>
    <x v="1"/>
    <n v="4041"/>
    <n v="3394.44"/>
  </r>
  <r>
    <s v="ORD66"/>
    <x v="51"/>
    <x v="3"/>
    <x v="3"/>
    <x v="0"/>
    <s v="Ravi"/>
    <n v="1811"/>
    <n v="3"/>
    <n v="5"/>
    <x v="2"/>
    <n v="5433"/>
    <n v="5161.3500000000004"/>
  </r>
  <r>
    <s v="ORD67"/>
    <x v="52"/>
    <x v="3"/>
    <x v="3"/>
    <x v="1"/>
    <s v="Kiran"/>
    <n v="16318"/>
    <n v="6"/>
    <n v="4"/>
    <x v="2"/>
    <n v="97908"/>
    <n v="93991.679999999993"/>
  </r>
  <r>
    <s v="ORD68"/>
    <x v="33"/>
    <x v="0"/>
    <x v="1"/>
    <x v="0"/>
    <s v="Amit"/>
    <n v="24183"/>
    <n v="3"/>
    <n v="19"/>
    <x v="1"/>
    <n v="72549"/>
    <n v="58764.69"/>
  </r>
  <r>
    <s v="ORD69"/>
    <x v="53"/>
    <x v="0"/>
    <x v="4"/>
    <x v="0"/>
    <s v="Rahul"/>
    <n v="32687"/>
    <n v="2"/>
    <n v="10"/>
    <x v="2"/>
    <n v="65374"/>
    <n v="58836.6"/>
  </r>
  <r>
    <s v="ORD70"/>
    <x v="54"/>
    <x v="1"/>
    <x v="2"/>
    <x v="1"/>
    <s v="Kiran"/>
    <n v="29817"/>
    <n v="10"/>
    <n v="5"/>
    <x v="2"/>
    <n v="298170"/>
    <n v="283261.5"/>
  </r>
  <r>
    <s v="ORD73"/>
    <x v="55"/>
    <x v="1"/>
    <x v="1"/>
    <x v="0"/>
    <s v="Kiran"/>
    <n v="49589"/>
    <n v="4"/>
    <n v="12"/>
    <x v="2"/>
    <n v="198356"/>
    <n v="174553.28"/>
  </r>
  <r>
    <s v="ORD74"/>
    <x v="56"/>
    <x v="2"/>
    <x v="4"/>
    <x v="0"/>
    <s v="Amit"/>
    <n v="34487"/>
    <n v="7"/>
    <n v="28"/>
    <x v="0"/>
    <n v="241409"/>
    <n v="173814.47999999998"/>
  </r>
  <r>
    <s v="ORD75"/>
    <x v="57"/>
    <x v="1"/>
    <x v="3"/>
    <x v="1"/>
    <s v="Priya"/>
    <n v="6012"/>
    <n v="1"/>
    <n v="24"/>
    <x v="1"/>
    <n v="6012"/>
    <n v="4569.12"/>
  </r>
  <r>
    <s v="ORD78"/>
    <x v="1"/>
    <x v="2"/>
    <x v="0"/>
    <x v="0"/>
    <s v="Kiran"/>
    <n v="31711"/>
    <n v="6"/>
    <n v="7"/>
    <x v="0"/>
    <n v="190266"/>
    <n v="176947.38"/>
  </r>
  <r>
    <s v="ORD79"/>
    <x v="58"/>
    <x v="3"/>
    <x v="4"/>
    <x v="1"/>
    <s v="Rahul"/>
    <n v="26785"/>
    <n v="3"/>
    <n v="5"/>
    <x v="1"/>
    <n v="80355"/>
    <n v="76337.25"/>
  </r>
  <r>
    <s v="ORD80"/>
    <x v="7"/>
    <x v="1"/>
    <x v="1"/>
    <x v="0"/>
    <s v="Amit"/>
    <n v="41035"/>
    <n v="2"/>
    <n v="28"/>
    <x v="1"/>
    <n v="82070"/>
    <n v="59090.400000000001"/>
  </r>
  <r>
    <s v="ORD83"/>
    <x v="59"/>
    <x v="1"/>
    <x v="3"/>
    <x v="1"/>
    <s v="Sneha"/>
    <n v="14327"/>
    <n v="4"/>
    <n v="17"/>
    <x v="2"/>
    <n v="57308"/>
    <n v="47565.64"/>
  </r>
  <r>
    <s v="ORD85"/>
    <x v="60"/>
    <x v="2"/>
    <x v="2"/>
    <x v="1"/>
    <s v="Priya"/>
    <n v="39808"/>
    <n v="6"/>
    <n v="20"/>
    <x v="2"/>
    <n v="238848"/>
    <n v="191078.39999999999"/>
  </r>
  <r>
    <s v="ORD87"/>
    <x v="61"/>
    <x v="1"/>
    <x v="4"/>
    <x v="1"/>
    <s v="Priya"/>
    <n v="33451"/>
    <n v="4"/>
    <n v="18"/>
    <x v="1"/>
    <n v="133804"/>
    <n v="109719.28"/>
  </r>
  <r>
    <s v="ORD88"/>
    <x v="62"/>
    <x v="2"/>
    <x v="3"/>
    <x v="0"/>
    <s v="Kiran"/>
    <n v="44562"/>
    <n v="4"/>
    <n v="24"/>
    <x v="0"/>
    <n v="178248"/>
    <n v="135468.48000000001"/>
  </r>
  <r>
    <s v="ORD89"/>
    <x v="63"/>
    <x v="1"/>
    <x v="0"/>
    <x v="1"/>
    <s v="Amit"/>
    <n v="39866"/>
    <n v="5"/>
    <n v="24"/>
    <x v="1"/>
    <n v="199330"/>
    <n v="151490.79999999999"/>
  </r>
  <r>
    <s v="ORD90"/>
    <x v="64"/>
    <x v="3"/>
    <x v="4"/>
    <x v="1"/>
    <s v="Rahul"/>
    <n v="30405"/>
    <n v="10"/>
    <n v="5"/>
    <x v="1"/>
    <n v="304050"/>
    <n v="288847.5"/>
  </r>
  <r>
    <s v="ORD91"/>
    <x v="31"/>
    <x v="3"/>
    <x v="4"/>
    <x v="0"/>
    <s v="Kiran"/>
    <n v="42775"/>
    <n v="2"/>
    <n v="6"/>
    <x v="1"/>
    <n v="85550"/>
    <n v="80417"/>
  </r>
  <r>
    <s v="ORD92"/>
    <x v="65"/>
    <x v="3"/>
    <x v="1"/>
    <x v="1"/>
    <s v="Anjali"/>
    <n v="6509"/>
    <n v="3"/>
    <n v="6"/>
    <x v="0"/>
    <n v="19527"/>
    <n v="18355.38"/>
  </r>
  <r>
    <s v="ORD94"/>
    <x v="55"/>
    <x v="2"/>
    <x v="1"/>
    <x v="1"/>
    <s v="Ravi"/>
    <n v="3200"/>
    <n v="10"/>
    <n v="13"/>
    <x v="1"/>
    <n v="32000"/>
    <n v="27840"/>
  </r>
  <r>
    <s v="ORD95"/>
    <x v="66"/>
    <x v="2"/>
    <x v="3"/>
    <x v="0"/>
    <s v="Rahul"/>
    <n v="31628"/>
    <n v="5"/>
    <n v="22"/>
    <x v="1"/>
    <n v="158140"/>
    <n v="123349.2"/>
  </r>
  <r>
    <s v="ORD96"/>
    <x v="67"/>
    <x v="3"/>
    <x v="4"/>
    <x v="1"/>
    <s v="Sneha"/>
    <n v="11411"/>
    <n v="10"/>
    <n v="27"/>
    <x v="0"/>
    <n v="114110"/>
    <n v="83300.3"/>
  </r>
  <r>
    <s v="ORD97"/>
    <x v="10"/>
    <x v="0"/>
    <x v="4"/>
    <x v="0"/>
    <s v="Sneha"/>
    <n v="21006"/>
    <n v="3"/>
    <n v="16"/>
    <x v="1"/>
    <n v="63018"/>
    <n v="52935.12"/>
  </r>
  <r>
    <s v="ORD98"/>
    <x v="43"/>
    <x v="3"/>
    <x v="2"/>
    <x v="0"/>
    <s v="Ravi"/>
    <n v="26078"/>
    <n v="7"/>
    <n v="26"/>
    <x v="2"/>
    <n v="182546"/>
    <n v="135084.04"/>
  </r>
  <r>
    <s v="ORD99"/>
    <x v="68"/>
    <x v="3"/>
    <x v="0"/>
    <x v="0"/>
    <s v="Anjali"/>
    <n v="10877"/>
    <n v="6"/>
    <n v="2"/>
    <x v="0"/>
    <n v="65262"/>
    <n v="63956.76"/>
  </r>
  <r>
    <s v="ORD101"/>
    <x v="69"/>
    <x v="2"/>
    <x v="0"/>
    <x v="0"/>
    <s v="Sneha"/>
    <n v="597"/>
    <n v="9"/>
    <n v="14"/>
    <x v="2"/>
    <n v="5373"/>
    <n v="4620.78"/>
  </r>
  <r>
    <s v="ORD103"/>
    <x v="70"/>
    <x v="1"/>
    <x v="0"/>
    <x v="0"/>
    <s v="Anjali"/>
    <n v="38959"/>
    <n v="2"/>
    <n v="8"/>
    <x v="1"/>
    <n v="77918"/>
    <n v="71684.56"/>
  </r>
  <r>
    <s v="ORD104"/>
    <x v="71"/>
    <x v="1"/>
    <x v="1"/>
    <x v="0"/>
    <s v="Priya"/>
    <n v="34704"/>
    <n v="8"/>
    <n v="23"/>
    <x v="1"/>
    <n v="277632"/>
    <n v="213776.64000000001"/>
  </r>
  <r>
    <s v="ORD105"/>
    <x v="72"/>
    <x v="3"/>
    <x v="4"/>
    <x v="1"/>
    <s v="Ravi"/>
    <n v="25046"/>
    <n v="7"/>
    <n v="11"/>
    <x v="2"/>
    <n v="175322"/>
    <n v="156036.58000000002"/>
  </r>
  <r>
    <s v="ORD106"/>
    <x v="73"/>
    <x v="1"/>
    <x v="1"/>
    <x v="1"/>
    <s v="Sneha"/>
    <n v="44117"/>
    <n v="10"/>
    <n v="10"/>
    <x v="2"/>
    <n v="441170"/>
    <n v="397053"/>
  </r>
  <r>
    <s v="ORD107"/>
    <x v="74"/>
    <x v="1"/>
    <x v="4"/>
    <x v="0"/>
    <s v="Anjali"/>
    <n v="7908"/>
    <n v="4"/>
    <n v="29"/>
    <x v="0"/>
    <n v="31632"/>
    <n v="22458.720000000001"/>
  </r>
  <r>
    <s v="ORD108"/>
    <x v="75"/>
    <x v="2"/>
    <x v="4"/>
    <x v="1"/>
    <s v="Ravi"/>
    <n v="45601"/>
    <n v="6"/>
    <n v="17"/>
    <x v="1"/>
    <n v="273606"/>
    <n v="227092.98"/>
  </r>
  <r>
    <s v="ORD109"/>
    <x v="76"/>
    <x v="3"/>
    <x v="3"/>
    <x v="1"/>
    <s v="Sneha"/>
    <n v="33396"/>
    <n v="5"/>
    <n v="29"/>
    <x v="1"/>
    <n v="166980"/>
    <n v="118555.8"/>
  </r>
  <r>
    <s v="ORD110"/>
    <x v="77"/>
    <x v="3"/>
    <x v="2"/>
    <x v="0"/>
    <s v="Ravi"/>
    <n v="18432"/>
    <n v="10"/>
    <n v="1"/>
    <x v="0"/>
    <n v="184320"/>
    <n v="182476.79999999999"/>
  </r>
  <r>
    <s v="ORD111"/>
    <x v="78"/>
    <x v="1"/>
    <x v="2"/>
    <x v="0"/>
    <s v="Priya"/>
    <n v="13143"/>
    <n v="4"/>
    <n v="8"/>
    <x v="0"/>
    <n v="52572"/>
    <n v="48366.239999999998"/>
  </r>
  <r>
    <s v="ORD112"/>
    <x v="79"/>
    <x v="3"/>
    <x v="0"/>
    <x v="0"/>
    <s v="Amit"/>
    <n v="903"/>
    <n v="2"/>
    <n v="11"/>
    <x v="1"/>
    <n v="1806"/>
    <n v="1607.34"/>
  </r>
  <r>
    <s v="ORD113"/>
    <x v="80"/>
    <x v="1"/>
    <x v="1"/>
    <x v="1"/>
    <s v="Sneha"/>
    <n v="6120"/>
    <n v="9"/>
    <n v="6"/>
    <x v="2"/>
    <n v="55080"/>
    <n v="51775.199999999997"/>
  </r>
  <r>
    <s v="ORD114"/>
    <x v="81"/>
    <x v="0"/>
    <x v="4"/>
    <x v="1"/>
    <s v="Rahul"/>
    <n v="27588"/>
    <n v="6"/>
    <n v="15"/>
    <x v="2"/>
    <n v="165528"/>
    <n v="140698.79999999999"/>
  </r>
  <r>
    <s v="ORD115"/>
    <x v="82"/>
    <x v="3"/>
    <x v="2"/>
    <x v="0"/>
    <s v="Priya"/>
    <n v="38533"/>
    <n v="1"/>
    <n v="2"/>
    <x v="0"/>
    <n v="38533"/>
    <n v="37762.339999999997"/>
  </r>
  <r>
    <s v="ORD116"/>
    <x v="78"/>
    <x v="1"/>
    <x v="4"/>
    <x v="1"/>
    <s v="Amit"/>
    <n v="21882"/>
    <n v="6"/>
    <n v="17"/>
    <x v="1"/>
    <n v="131292"/>
    <n v="108972.36"/>
  </r>
  <r>
    <s v="ORD117"/>
    <x v="83"/>
    <x v="0"/>
    <x v="0"/>
    <x v="0"/>
    <s v="Rahul"/>
    <n v="46015"/>
    <n v="6"/>
    <n v="27"/>
    <x v="1"/>
    <n v="276090"/>
    <n v="201545.7"/>
  </r>
  <r>
    <s v="ORD118"/>
    <x v="84"/>
    <x v="2"/>
    <x v="1"/>
    <x v="1"/>
    <s v="Rahul"/>
    <n v="33139"/>
    <n v="2"/>
    <n v="3"/>
    <x v="2"/>
    <n v="66278"/>
    <n v="64289.66"/>
  </r>
  <r>
    <s v="ORD119"/>
    <x v="59"/>
    <x v="1"/>
    <x v="2"/>
    <x v="1"/>
    <s v="Rahul"/>
    <n v="34179"/>
    <n v="6"/>
    <n v="3"/>
    <x v="2"/>
    <n v="205074"/>
    <n v="198921.78"/>
  </r>
  <r>
    <s v="ORD120"/>
    <x v="85"/>
    <x v="0"/>
    <x v="3"/>
    <x v="0"/>
    <s v="Sneha"/>
    <n v="26555"/>
    <n v="10"/>
    <n v="14"/>
    <x v="1"/>
    <n v="265550"/>
    <n v="228373"/>
  </r>
  <r>
    <s v="ORD121"/>
    <x v="78"/>
    <x v="1"/>
    <x v="3"/>
    <x v="1"/>
    <s v="Rahul"/>
    <n v="10828"/>
    <n v="7"/>
    <n v="17"/>
    <x v="1"/>
    <n v="75796"/>
    <n v="62910.68"/>
  </r>
  <r>
    <s v="ORD122"/>
    <x v="86"/>
    <x v="3"/>
    <x v="3"/>
    <x v="1"/>
    <s v="Kiran"/>
    <n v="16377"/>
    <n v="3"/>
    <n v="8"/>
    <x v="1"/>
    <n v="49131"/>
    <n v="45200.52"/>
  </r>
  <r>
    <s v="ORD123"/>
    <x v="87"/>
    <x v="3"/>
    <x v="0"/>
    <x v="0"/>
    <s v="Rahul"/>
    <n v="49255"/>
    <n v="5"/>
    <n v="12"/>
    <x v="2"/>
    <n v="246275"/>
    <n v="216722"/>
  </r>
  <r>
    <s v="ORD124"/>
    <x v="88"/>
    <x v="2"/>
    <x v="1"/>
    <x v="1"/>
    <s v="Anjali"/>
    <n v="34382"/>
    <n v="7"/>
    <n v="16"/>
    <x v="1"/>
    <n v="240674"/>
    <n v="202166.16"/>
  </r>
  <r>
    <s v="ORD126"/>
    <x v="89"/>
    <x v="0"/>
    <x v="1"/>
    <x v="0"/>
    <s v="Amit"/>
    <n v="49865"/>
    <n v="3"/>
    <n v="3"/>
    <x v="2"/>
    <n v="149595"/>
    <n v="145107.15"/>
  </r>
  <r>
    <s v="ORD127"/>
    <x v="90"/>
    <x v="3"/>
    <x v="3"/>
    <x v="1"/>
    <s v="Sneha"/>
    <n v="24645"/>
    <n v="9"/>
    <n v="16"/>
    <x v="0"/>
    <n v="221805"/>
    <n v="186316.2"/>
  </r>
  <r>
    <s v="ORD128"/>
    <x v="91"/>
    <x v="0"/>
    <x v="3"/>
    <x v="0"/>
    <s v="Priya"/>
    <n v="35890"/>
    <n v="2"/>
    <n v="12"/>
    <x v="0"/>
    <n v="71780"/>
    <n v="63166.400000000001"/>
  </r>
  <r>
    <s v="ORD129"/>
    <x v="92"/>
    <x v="1"/>
    <x v="4"/>
    <x v="1"/>
    <s v="Amit"/>
    <n v="31188"/>
    <n v="8"/>
    <n v="29"/>
    <x v="0"/>
    <n v="249504"/>
    <n v="177147.84"/>
  </r>
  <r>
    <s v="ORD130"/>
    <x v="93"/>
    <x v="3"/>
    <x v="4"/>
    <x v="1"/>
    <s v="Rahul"/>
    <n v="10670"/>
    <n v="9"/>
    <n v="12"/>
    <x v="2"/>
    <n v="96030"/>
    <n v="84506.4"/>
  </r>
  <r>
    <s v="ORD131"/>
    <x v="94"/>
    <x v="2"/>
    <x v="3"/>
    <x v="0"/>
    <s v="Kiran"/>
    <n v="6697"/>
    <n v="2"/>
    <n v="14"/>
    <x v="0"/>
    <n v="13394"/>
    <n v="11518.84"/>
  </r>
  <r>
    <s v="ORD132"/>
    <x v="3"/>
    <x v="0"/>
    <x v="3"/>
    <x v="0"/>
    <s v="Rahul"/>
    <n v="5039"/>
    <n v="10"/>
    <n v="17"/>
    <x v="0"/>
    <n v="50390"/>
    <n v="41823.699999999997"/>
  </r>
  <r>
    <s v="ORD133"/>
    <x v="95"/>
    <x v="3"/>
    <x v="3"/>
    <x v="0"/>
    <s v="Rahul"/>
    <n v="24679"/>
    <n v="1"/>
    <n v="13"/>
    <x v="0"/>
    <n v="24679"/>
    <n v="21470.73"/>
  </r>
  <r>
    <s v="ORD134"/>
    <x v="96"/>
    <x v="2"/>
    <x v="0"/>
    <x v="1"/>
    <s v="Ravi"/>
    <n v="10797"/>
    <n v="3"/>
    <n v="4"/>
    <x v="0"/>
    <n v="32391"/>
    <n v="31095.360000000001"/>
  </r>
  <r>
    <s v="ORD135"/>
    <x v="97"/>
    <x v="3"/>
    <x v="3"/>
    <x v="1"/>
    <s v="Ravi"/>
    <n v="32779"/>
    <n v="2"/>
    <n v="14"/>
    <x v="1"/>
    <n v="65558"/>
    <n v="56379.88"/>
  </r>
  <r>
    <s v="ORD136"/>
    <x v="33"/>
    <x v="1"/>
    <x v="3"/>
    <x v="0"/>
    <s v="Kiran"/>
    <n v="48623"/>
    <n v="8"/>
    <n v="21"/>
    <x v="0"/>
    <n v="388984"/>
    <n v="307297.36"/>
  </r>
  <r>
    <s v="ORD137"/>
    <x v="98"/>
    <x v="1"/>
    <x v="3"/>
    <x v="0"/>
    <s v="Rahul"/>
    <n v="49278"/>
    <n v="2"/>
    <n v="24"/>
    <x v="2"/>
    <n v="98556"/>
    <n v="74902.559999999998"/>
  </r>
  <r>
    <s v="ORD138"/>
    <x v="99"/>
    <x v="3"/>
    <x v="3"/>
    <x v="0"/>
    <s v="Amit"/>
    <n v="34602"/>
    <n v="2"/>
    <n v="24"/>
    <x v="2"/>
    <n v="69204"/>
    <n v="52595.040000000001"/>
  </r>
  <r>
    <s v="ORD139"/>
    <x v="100"/>
    <x v="2"/>
    <x v="0"/>
    <x v="0"/>
    <s v="Anjali"/>
    <n v="35555"/>
    <n v="5"/>
    <n v="11"/>
    <x v="2"/>
    <n v="177775"/>
    <n v="158219.75"/>
  </r>
  <r>
    <s v="ORD140"/>
    <x v="101"/>
    <x v="1"/>
    <x v="0"/>
    <x v="0"/>
    <s v="Priya"/>
    <n v="40061"/>
    <n v="9"/>
    <n v="5"/>
    <x v="1"/>
    <n v="360549"/>
    <n v="342521.55"/>
  </r>
  <r>
    <s v="ORD141"/>
    <x v="57"/>
    <x v="2"/>
    <x v="2"/>
    <x v="0"/>
    <s v="Anjali"/>
    <n v="15712"/>
    <n v="8"/>
    <n v="24"/>
    <x v="1"/>
    <n v="125696"/>
    <n v="95528.959999999992"/>
  </r>
  <r>
    <s v="ORD142"/>
    <x v="102"/>
    <x v="1"/>
    <x v="4"/>
    <x v="1"/>
    <s v="Ravi"/>
    <n v="29207"/>
    <n v="9"/>
    <n v="14"/>
    <x v="2"/>
    <n v="262863"/>
    <n v="226062.18"/>
  </r>
  <r>
    <s v="ORD143"/>
    <x v="103"/>
    <x v="2"/>
    <x v="1"/>
    <x v="1"/>
    <s v="Amit"/>
    <n v="4174"/>
    <n v="8"/>
    <n v="8"/>
    <x v="0"/>
    <n v="33392"/>
    <n v="30720.639999999999"/>
  </r>
  <r>
    <s v="ORD144"/>
    <x v="104"/>
    <x v="1"/>
    <x v="3"/>
    <x v="1"/>
    <s v="Sneha"/>
    <n v="11466"/>
    <n v="6"/>
    <n v="7"/>
    <x v="1"/>
    <n v="68796"/>
    <n v="63980.28"/>
  </r>
  <r>
    <s v="ORD145"/>
    <x v="105"/>
    <x v="3"/>
    <x v="4"/>
    <x v="1"/>
    <s v="Rahul"/>
    <n v="43155"/>
    <n v="2"/>
    <n v="6"/>
    <x v="0"/>
    <n v="86310"/>
    <n v="81131.399999999994"/>
  </r>
  <r>
    <s v="ORD146"/>
    <x v="25"/>
    <x v="0"/>
    <x v="0"/>
    <x v="1"/>
    <s v="Sneha"/>
    <n v="2571"/>
    <n v="7"/>
    <n v="21"/>
    <x v="2"/>
    <n v="17997"/>
    <n v="14217.630000000001"/>
  </r>
  <r>
    <s v="ORD147"/>
    <x v="106"/>
    <x v="3"/>
    <x v="0"/>
    <x v="0"/>
    <s v="Kiran"/>
    <n v="15773"/>
    <n v="10"/>
    <n v="25"/>
    <x v="1"/>
    <n v="157730"/>
    <n v="118297.5"/>
  </r>
  <r>
    <s v="ORD148"/>
    <x v="5"/>
    <x v="0"/>
    <x v="4"/>
    <x v="1"/>
    <s v="Kiran"/>
    <n v="31911"/>
    <n v="6"/>
    <n v="11"/>
    <x v="0"/>
    <n v="191466"/>
    <n v="170404.74"/>
  </r>
  <r>
    <s v="ORD149"/>
    <x v="107"/>
    <x v="0"/>
    <x v="0"/>
    <x v="1"/>
    <s v="Rahul"/>
    <n v="36410"/>
    <n v="5"/>
    <n v="27"/>
    <x v="0"/>
    <n v="182050"/>
    <n v="132896.5"/>
  </r>
  <r>
    <s v="ORD150"/>
    <x v="0"/>
    <x v="1"/>
    <x v="1"/>
    <x v="0"/>
    <s v="Anjali"/>
    <n v="12376"/>
    <n v="7"/>
    <n v="10"/>
    <x v="1"/>
    <n v="86632"/>
    <n v="77968.800000000003"/>
  </r>
  <r>
    <s v="ORD151"/>
    <x v="108"/>
    <x v="2"/>
    <x v="0"/>
    <x v="1"/>
    <s v="Amit"/>
    <n v="47939"/>
    <n v="4"/>
    <n v="8"/>
    <x v="0"/>
    <n v="191756"/>
    <n v="176415.52"/>
  </r>
  <r>
    <s v="ORD153"/>
    <x v="109"/>
    <x v="3"/>
    <x v="1"/>
    <x v="1"/>
    <s v="Amit"/>
    <n v="20152"/>
    <n v="10"/>
    <n v="8"/>
    <x v="1"/>
    <n v="201520"/>
    <n v="185398.39999999999"/>
  </r>
  <r>
    <s v="ORD155"/>
    <x v="110"/>
    <x v="3"/>
    <x v="1"/>
    <x v="0"/>
    <s v="Rahul"/>
    <n v="49092"/>
    <n v="8"/>
    <n v="2"/>
    <x v="2"/>
    <n v="392736"/>
    <n v="384881.28"/>
  </r>
  <r>
    <s v="ORD156"/>
    <x v="67"/>
    <x v="0"/>
    <x v="4"/>
    <x v="1"/>
    <s v="Kiran"/>
    <n v="49547"/>
    <n v="5"/>
    <n v="13"/>
    <x v="1"/>
    <n v="247735"/>
    <n v="215529.45"/>
  </r>
  <r>
    <s v="ORD157"/>
    <x v="111"/>
    <x v="1"/>
    <x v="0"/>
    <x v="1"/>
    <s v="Rahul"/>
    <n v="16848"/>
    <n v="4"/>
    <n v="25"/>
    <x v="0"/>
    <n v="67392"/>
    <n v="50544"/>
  </r>
  <r>
    <s v="ORD158"/>
    <x v="89"/>
    <x v="1"/>
    <x v="0"/>
    <x v="1"/>
    <s v="Sneha"/>
    <n v="21259"/>
    <n v="1"/>
    <n v="18"/>
    <x v="0"/>
    <n v="21259"/>
    <n v="17432.38"/>
  </r>
  <r>
    <s v="ORD159"/>
    <x v="112"/>
    <x v="1"/>
    <x v="3"/>
    <x v="0"/>
    <s v="Anjali"/>
    <n v="10837"/>
    <n v="10"/>
    <n v="1"/>
    <x v="0"/>
    <n v="108370"/>
    <n v="107286.3"/>
  </r>
  <r>
    <s v="ORD160"/>
    <x v="113"/>
    <x v="0"/>
    <x v="3"/>
    <x v="0"/>
    <s v="Anjali"/>
    <n v="19405"/>
    <n v="5"/>
    <n v="24"/>
    <x v="1"/>
    <n v="97025"/>
    <n v="73739"/>
  </r>
  <r>
    <s v="ORD161"/>
    <x v="56"/>
    <x v="1"/>
    <x v="2"/>
    <x v="0"/>
    <s v="Kiran"/>
    <n v="37511"/>
    <n v="8"/>
    <n v="19"/>
    <x v="2"/>
    <n v="300088"/>
    <n v="243071.28"/>
  </r>
  <r>
    <s v="ORD162"/>
    <x v="7"/>
    <x v="2"/>
    <x v="0"/>
    <x v="0"/>
    <s v="Sneha"/>
    <n v="13852"/>
    <n v="5"/>
    <n v="17"/>
    <x v="0"/>
    <n v="69260"/>
    <n v="57485.8"/>
  </r>
  <r>
    <s v="ORD163"/>
    <x v="46"/>
    <x v="1"/>
    <x v="3"/>
    <x v="0"/>
    <s v="Priya"/>
    <n v="36406"/>
    <n v="5"/>
    <n v="14"/>
    <x v="0"/>
    <n v="182030"/>
    <n v="156545.79999999999"/>
  </r>
  <r>
    <s v="ORD164"/>
    <x v="114"/>
    <x v="2"/>
    <x v="3"/>
    <x v="0"/>
    <s v="Amit"/>
    <n v="48544"/>
    <n v="4"/>
    <n v="5"/>
    <x v="0"/>
    <n v="194176"/>
    <n v="184467.20000000001"/>
  </r>
  <r>
    <s v="ORD165"/>
    <x v="113"/>
    <x v="2"/>
    <x v="1"/>
    <x v="0"/>
    <s v="Kiran"/>
    <n v="42107"/>
    <n v="8"/>
    <n v="26"/>
    <x v="2"/>
    <n v="336856"/>
    <n v="249273.44"/>
  </r>
  <r>
    <s v="ORD166"/>
    <x v="115"/>
    <x v="3"/>
    <x v="0"/>
    <x v="1"/>
    <s v="Sneha"/>
    <n v="43776"/>
    <n v="4"/>
    <n v="25"/>
    <x v="1"/>
    <n v="175104"/>
    <n v="131328"/>
  </r>
  <r>
    <s v="ORD167"/>
    <x v="116"/>
    <x v="3"/>
    <x v="2"/>
    <x v="0"/>
    <s v="Rahul"/>
    <n v="1632"/>
    <n v="10"/>
    <n v="7"/>
    <x v="0"/>
    <n v="16320"/>
    <n v="15177.6"/>
  </r>
  <r>
    <s v="ORD168"/>
    <x v="117"/>
    <x v="3"/>
    <x v="4"/>
    <x v="0"/>
    <s v="Sneha"/>
    <n v="25975"/>
    <n v="4"/>
    <n v="27"/>
    <x v="0"/>
    <n v="103900"/>
    <n v="75847"/>
  </r>
  <r>
    <s v="ORD169"/>
    <x v="118"/>
    <x v="1"/>
    <x v="2"/>
    <x v="1"/>
    <s v="Ravi"/>
    <n v="7668"/>
    <n v="5"/>
    <n v="15"/>
    <x v="1"/>
    <n v="38340"/>
    <n v="32589"/>
  </r>
  <r>
    <s v="ORD170"/>
    <x v="65"/>
    <x v="3"/>
    <x v="3"/>
    <x v="1"/>
    <s v="Ravi"/>
    <n v="33491"/>
    <n v="6"/>
    <n v="8"/>
    <x v="1"/>
    <n v="200946"/>
    <n v="184870.32"/>
  </r>
  <r>
    <s v="ORD171"/>
    <x v="119"/>
    <x v="2"/>
    <x v="0"/>
    <x v="0"/>
    <s v="Kiran"/>
    <n v="11564"/>
    <n v="1"/>
    <n v="21"/>
    <x v="1"/>
    <n v="11564"/>
    <n v="9135.56"/>
  </r>
  <r>
    <s v="ORD172"/>
    <x v="120"/>
    <x v="3"/>
    <x v="1"/>
    <x v="0"/>
    <s v="Priya"/>
    <n v="39517"/>
    <n v="8"/>
    <n v="10"/>
    <x v="0"/>
    <n v="316136"/>
    <n v="284522.40000000002"/>
  </r>
  <r>
    <s v="ORD175"/>
    <x v="121"/>
    <x v="0"/>
    <x v="0"/>
    <x v="1"/>
    <s v="Ravi"/>
    <n v="30288"/>
    <n v="3"/>
    <n v="20"/>
    <x v="1"/>
    <n v="90864"/>
    <n v="72691.199999999997"/>
  </r>
  <r>
    <s v="ORD176"/>
    <x v="122"/>
    <x v="1"/>
    <x v="0"/>
    <x v="0"/>
    <s v="Sneha"/>
    <n v="12077"/>
    <n v="1"/>
    <n v="22"/>
    <x v="1"/>
    <n v="12077"/>
    <n v="9420.06"/>
  </r>
  <r>
    <s v="ORD177"/>
    <x v="123"/>
    <x v="0"/>
    <x v="0"/>
    <x v="1"/>
    <s v="Anjali"/>
    <n v="32009"/>
    <n v="7"/>
    <n v="5"/>
    <x v="1"/>
    <n v="224063"/>
    <n v="212859.85"/>
  </r>
  <r>
    <s v="ORD178"/>
    <x v="65"/>
    <x v="0"/>
    <x v="1"/>
    <x v="0"/>
    <s v="Amit"/>
    <n v="42765"/>
    <n v="1"/>
    <n v="27"/>
    <x v="2"/>
    <n v="42765"/>
    <n v="31218.45"/>
  </r>
  <r>
    <s v="ORD179"/>
    <x v="124"/>
    <x v="0"/>
    <x v="3"/>
    <x v="1"/>
    <s v="Kiran"/>
    <n v="19496"/>
    <n v="10"/>
    <n v="17"/>
    <x v="0"/>
    <n v="194960"/>
    <n v="161816.79999999999"/>
  </r>
  <r>
    <s v="ORD180"/>
    <x v="125"/>
    <x v="2"/>
    <x v="2"/>
    <x v="1"/>
    <s v="Ravi"/>
    <n v="28280"/>
    <n v="7"/>
    <n v="22"/>
    <x v="0"/>
    <n v="197960"/>
    <n v="154408.79999999999"/>
  </r>
  <r>
    <s v="ORD181"/>
    <x v="123"/>
    <x v="1"/>
    <x v="1"/>
    <x v="0"/>
    <s v="Amit"/>
    <n v="23547"/>
    <n v="6"/>
    <n v="6"/>
    <x v="2"/>
    <n v="141282"/>
    <n v="132805.07999999999"/>
  </r>
  <r>
    <s v="ORD182"/>
    <x v="126"/>
    <x v="1"/>
    <x v="4"/>
    <x v="1"/>
    <s v="Ravi"/>
    <n v="44915"/>
    <n v="9"/>
    <n v="6"/>
    <x v="0"/>
    <n v="404235"/>
    <n v="379980.9"/>
  </r>
  <r>
    <s v="ORD183"/>
    <x v="127"/>
    <x v="2"/>
    <x v="0"/>
    <x v="1"/>
    <s v="Ravi"/>
    <n v="4076"/>
    <n v="5"/>
    <n v="25"/>
    <x v="1"/>
    <n v="20380"/>
    <n v="15285"/>
  </r>
  <r>
    <s v="ORD185"/>
    <x v="128"/>
    <x v="0"/>
    <x v="0"/>
    <x v="0"/>
    <s v="Sneha"/>
    <n v="44865"/>
    <n v="7"/>
    <n v="25"/>
    <x v="1"/>
    <n v="314055"/>
    <n v="235541.25"/>
  </r>
  <r>
    <s v="ORD186"/>
    <x v="96"/>
    <x v="2"/>
    <x v="4"/>
    <x v="1"/>
    <s v="Priya"/>
    <n v="19914"/>
    <n v="5"/>
    <n v="23"/>
    <x v="1"/>
    <n v="99570"/>
    <n v="76668.899999999994"/>
  </r>
  <r>
    <s v="ORD187"/>
    <x v="5"/>
    <x v="2"/>
    <x v="4"/>
    <x v="1"/>
    <s v="Priya"/>
    <n v="12541"/>
    <n v="6"/>
    <n v="10"/>
    <x v="1"/>
    <n v="75246"/>
    <n v="67721.399999999994"/>
  </r>
  <r>
    <s v="ORD188"/>
    <x v="77"/>
    <x v="1"/>
    <x v="4"/>
    <x v="1"/>
    <s v="Kiran"/>
    <n v="23051"/>
    <n v="3"/>
    <n v="1"/>
    <x v="2"/>
    <n v="69153"/>
    <n v="68461.47"/>
  </r>
  <r>
    <s v="ORD189"/>
    <x v="129"/>
    <x v="2"/>
    <x v="4"/>
    <x v="0"/>
    <s v="Priya"/>
    <n v="9844"/>
    <n v="7"/>
    <n v="20"/>
    <x v="0"/>
    <n v="68908"/>
    <n v="55126.400000000001"/>
  </r>
  <r>
    <s v="ORD190"/>
    <x v="130"/>
    <x v="2"/>
    <x v="1"/>
    <x v="1"/>
    <s v="Anjali"/>
    <n v="1050"/>
    <n v="1"/>
    <n v="25"/>
    <x v="0"/>
    <n v="1050"/>
    <n v="787.5"/>
  </r>
  <r>
    <s v="ORD192"/>
    <x v="88"/>
    <x v="1"/>
    <x v="4"/>
    <x v="0"/>
    <s v="Rahul"/>
    <n v="13577"/>
    <n v="8"/>
    <n v="26"/>
    <x v="2"/>
    <n v="108616"/>
    <n v="80375.839999999997"/>
  </r>
  <r>
    <s v="ORD193"/>
    <x v="16"/>
    <x v="0"/>
    <x v="0"/>
    <x v="1"/>
    <s v="Anjali"/>
    <n v="21470"/>
    <n v="3"/>
    <n v="24"/>
    <x v="1"/>
    <n v="64410"/>
    <n v="48951.6"/>
  </r>
  <r>
    <s v="ORD194"/>
    <x v="131"/>
    <x v="2"/>
    <x v="2"/>
    <x v="0"/>
    <s v="Sneha"/>
    <n v="28019"/>
    <n v="3"/>
    <n v="11"/>
    <x v="2"/>
    <n v="84057"/>
    <n v="74810.73"/>
  </r>
  <r>
    <s v="ORD195"/>
    <x v="29"/>
    <x v="2"/>
    <x v="1"/>
    <x v="0"/>
    <s v="Amit"/>
    <n v="31638"/>
    <n v="2"/>
    <n v="13"/>
    <x v="1"/>
    <n v="63276"/>
    <n v="55050.12"/>
  </r>
  <r>
    <s v="ORD196"/>
    <x v="132"/>
    <x v="0"/>
    <x v="4"/>
    <x v="0"/>
    <s v="Anjali"/>
    <n v="41381"/>
    <n v="1"/>
    <n v="23"/>
    <x v="0"/>
    <n v="41381"/>
    <n v="31863.370000000003"/>
  </r>
  <r>
    <s v="ORD197"/>
    <x v="133"/>
    <x v="3"/>
    <x v="2"/>
    <x v="0"/>
    <s v="Anjali"/>
    <n v="14952"/>
    <n v="9"/>
    <n v="4"/>
    <x v="1"/>
    <n v="134568"/>
    <n v="129185.28"/>
  </r>
  <r>
    <s v="ORD198"/>
    <x v="134"/>
    <x v="0"/>
    <x v="4"/>
    <x v="0"/>
    <s v="Amit"/>
    <n v="12737"/>
    <n v="7"/>
    <n v="3"/>
    <x v="1"/>
    <n v="89159"/>
    <n v="86484.23"/>
  </r>
  <r>
    <s v="ORD199"/>
    <x v="135"/>
    <x v="1"/>
    <x v="4"/>
    <x v="0"/>
    <s v="Rahul"/>
    <n v="22971"/>
    <n v="1"/>
    <n v="24"/>
    <x v="1"/>
    <n v="22971"/>
    <n v="17457.96"/>
  </r>
  <r>
    <s v="ORD200"/>
    <x v="2"/>
    <x v="3"/>
    <x v="1"/>
    <x v="1"/>
    <s v="Sneha"/>
    <n v="28398"/>
    <n v="1"/>
    <n v="21"/>
    <x v="0"/>
    <n v="28398"/>
    <n v="22434.42"/>
  </r>
  <r>
    <s v="ORD201"/>
    <x v="136"/>
    <x v="1"/>
    <x v="0"/>
    <x v="1"/>
    <s v="Amit"/>
    <n v="49120"/>
    <n v="8"/>
    <n v="29"/>
    <x v="1"/>
    <n v="392960"/>
    <n v="279001.59999999998"/>
  </r>
  <r>
    <s v="ORD202"/>
    <x v="137"/>
    <x v="2"/>
    <x v="4"/>
    <x v="0"/>
    <s v="Sneha"/>
    <n v="2452"/>
    <n v="1"/>
    <n v="29"/>
    <x v="1"/>
    <n v="2452"/>
    <n v="1740.92"/>
  </r>
  <r>
    <s v="ORD203"/>
    <x v="138"/>
    <x v="3"/>
    <x v="3"/>
    <x v="0"/>
    <s v="Rahul"/>
    <n v="46188"/>
    <n v="6"/>
    <n v="8"/>
    <x v="0"/>
    <n v="277128"/>
    <n v="254957.76"/>
  </r>
  <r>
    <s v="ORD204"/>
    <x v="139"/>
    <x v="1"/>
    <x v="2"/>
    <x v="1"/>
    <s v="Priya"/>
    <n v="3619"/>
    <n v="4"/>
    <n v="16"/>
    <x v="0"/>
    <n v="14476"/>
    <n v="12159.84"/>
  </r>
  <r>
    <s v="ORD205"/>
    <x v="81"/>
    <x v="2"/>
    <x v="0"/>
    <x v="0"/>
    <s v="Sneha"/>
    <n v="24873"/>
    <n v="10"/>
    <n v="22"/>
    <x v="2"/>
    <n v="248730"/>
    <n v="194009.4"/>
  </r>
  <r>
    <s v="ORD206"/>
    <x v="140"/>
    <x v="3"/>
    <x v="2"/>
    <x v="1"/>
    <s v="Amit"/>
    <n v="47479"/>
    <n v="4"/>
    <n v="30"/>
    <x v="0"/>
    <n v="189916"/>
    <n v="132941.20000000001"/>
  </r>
  <r>
    <s v="ORD207"/>
    <x v="141"/>
    <x v="2"/>
    <x v="2"/>
    <x v="0"/>
    <s v="Ravi"/>
    <n v="41361"/>
    <n v="6"/>
    <n v="0"/>
    <x v="2"/>
    <n v="248166"/>
    <n v="248166"/>
  </r>
  <r>
    <s v="ORD209"/>
    <x v="142"/>
    <x v="2"/>
    <x v="3"/>
    <x v="1"/>
    <s v="Sneha"/>
    <n v="10003"/>
    <n v="1"/>
    <n v="18"/>
    <x v="2"/>
    <n v="10003"/>
    <n v="8202.4599999999991"/>
  </r>
  <r>
    <s v="ORD210"/>
    <x v="143"/>
    <x v="2"/>
    <x v="0"/>
    <x v="0"/>
    <s v="Ravi"/>
    <n v="27195"/>
    <n v="2"/>
    <n v="0"/>
    <x v="1"/>
    <n v="54390"/>
    <n v="54390"/>
  </r>
  <r>
    <s v="ORD211"/>
    <x v="60"/>
    <x v="1"/>
    <x v="2"/>
    <x v="0"/>
    <s v="Kiran"/>
    <n v="15608"/>
    <n v="4"/>
    <n v="23"/>
    <x v="0"/>
    <n v="62432"/>
    <n v="48072.639999999999"/>
  </r>
  <r>
    <s v="ORD212"/>
    <x v="144"/>
    <x v="2"/>
    <x v="0"/>
    <x v="1"/>
    <s v="Amit"/>
    <n v="6624"/>
    <n v="4"/>
    <n v="10"/>
    <x v="2"/>
    <n v="26496"/>
    <n v="23846.400000000001"/>
  </r>
  <r>
    <s v="ORD213"/>
    <x v="145"/>
    <x v="3"/>
    <x v="3"/>
    <x v="1"/>
    <s v="Kiran"/>
    <n v="7746"/>
    <n v="8"/>
    <n v="10"/>
    <x v="2"/>
    <n v="61968"/>
    <n v="55771.199999999997"/>
  </r>
  <r>
    <s v="ORD214"/>
    <x v="146"/>
    <x v="0"/>
    <x v="4"/>
    <x v="0"/>
    <s v="Sneha"/>
    <n v="41536"/>
    <n v="7"/>
    <n v="9"/>
    <x v="0"/>
    <n v="290752"/>
    <n v="264584.32000000001"/>
  </r>
  <r>
    <s v="ORD216"/>
    <x v="147"/>
    <x v="2"/>
    <x v="4"/>
    <x v="0"/>
    <s v="Kiran"/>
    <n v="23255"/>
    <n v="10"/>
    <n v="12"/>
    <x v="2"/>
    <n v="232550"/>
    <n v="204644"/>
  </r>
  <r>
    <s v="ORD217"/>
    <x v="148"/>
    <x v="0"/>
    <x v="4"/>
    <x v="1"/>
    <s v="Ravi"/>
    <n v="32626"/>
    <n v="7"/>
    <n v="7"/>
    <x v="0"/>
    <n v="228382"/>
    <n v="212395.26"/>
  </r>
  <r>
    <s v="ORD218"/>
    <x v="117"/>
    <x v="3"/>
    <x v="3"/>
    <x v="0"/>
    <s v="Priya"/>
    <n v="49596"/>
    <n v="6"/>
    <n v="25"/>
    <x v="2"/>
    <n v="297576"/>
    <n v="223182"/>
  </r>
  <r>
    <s v="ORD219"/>
    <x v="149"/>
    <x v="3"/>
    <x v="2"/>
    <x v="0"/>
    <s v="Kiran"/>
    <n v="1824"/>
    <n v="5"/>
    <n v="19"/>
    <x v="1"/>
    <n v="9120"/>
    <n v="7387.2"/>
  </r>
  <r>
    <s v="ORD220"/>
    <x v="47"/>
    <x v="3"/>
    <x v="4"/>
    <x v="1"/>
    <s v="Kiran"/>
    <n v="22566"/>
    <n v="10"/>
    <n v="4"/>
    <x v="0"/>
    <n v="225660"/>
    <n v="216633.60000000001"/>
  </r>
  <r>
    <s v="ORD222"/>
    <x v="103"/>
    <x v="1"/>
    <x v="4"/>
    <x v="0"/>
    <s v="Anjali"/>
    <n v="14015"/>
    <n v="3"/>
    <n v="11"/>
    <x v="1"/>
    <n v="42045"/>
    <n v="37420.050000000003"/>
  </r>
  <r>
    <s v="ORD224"/>
    <x v="150"/>
    <x v="1"/>
    <x v="0"/>
    <x v="1"/>
    <s v="Amit"/>
    <n v="31796"/>
    <n v="5"/>
    <n v="24"/>
    <x v="0"/>
    <n v="158980"/>
    <n v="120824.8"/>
  </r>
  <r>
    <s v="ORD225"/>
    <x v="66"/>
    <x v="2"/>
    <x v="4"/>
    <x v="1"/>
    <s v="Sneha"/>
    <n v="26230"/>
    <n v="5"/>
    <n v="0"/>
    <x v="0"/>
    <n v="131150"/>
    <n v="131150"/>
  </r>
  <r>
    <s v="ORD226"/>
    <x v="151"/>
    <x v="1"/>
    <x v="1"/>
    <x v="1"/>
    <s v="Sneha"/>
    <n v="13336"/>
    <n v="7"/>
    <n v="14"/>
    <x v="1"/>
    <n v="93352"/>
    <n v="80282.720000000001"/>
  </r>
  <r>
    <s v="ORD228"/>
    <x v="152"/>
    <x v="0"/>
    <x v="2"/>
    <x v="1"/>
    <s v="Ravi"/>
    <n v="46977"/>
    <n v="10"/>
    <n v="0"/>
    <x v="2"/>
    <n v="469770"/>
    <n v="469770"/>
  </r>
  <r>
    <s v="ORD229"/>
    <x v="6"/>
    <x v="1"/>
    <x v="0"/>
    <x v="1"/>
    <s v="Sneha"/>
    <n v="40780"/>
    <n v="8"/>
    <n v="14"/>
    <x v="0"/>
    <n v="326240"/>
    <n v="280566.40000000002"/>
  </r>
  <r>
    <s v="ORD230"/>
    <x v="153"/>
    <x v="1"/>
    <x v="4"/>
    <x v="0"/>
    <s v="Priya"/>
    <n v="13466"/>
    <n v="10"/>
    <n v="30"/>
    <x v="2"/>
    <n v="134660"/>
    <n v="94262"/>
  </r>
  <r>
    <s v="ORD232"/>
    <x v="86"/>
    <x v="3"/>
    <x v="3"/>
    <x v="0"/>
    <s v="Sneha"/>
    <n v="14611"/>
    <n v="10"/>
    <n v="14"/>
    <x v="2"/>
    <n v="146110"/>
    <n v="125654.6"/>
  </r>
  <r>
    <s v="ORD234"/>
    <x v="154"/>
    <x v="1"/>
    <x v="3"/>
    <x v="1"/>
    <s v="Priya"/>
    <n v="22321"/>
    <n v="4"/>
    <n v="11"/>
    <x v="1"/>
    <n v="89284"/>
    <n v="79462.759999999995"/>
  </r>
  <r>
    <s v="ORD236"/>
    <x v="155"/>
    <x v="3"/>
    <x v="2"/>
    <x v="1"/>
    <s v="Rahul"/>
    <n v="48542"/>
    <n v="1"/>
    <n v="4"/>
    <x v="0"/>
    <n v="48542"/>
    <n v="46600.32"/>
  </r>
  <r>
    <s v="ORD237"/>
    <x v="156"/>
    <x v="2"/>
    <x v="4"/>
    <x v="1"/>
    <s v="Anjali"/>
    <n v="12701"/>
    <n v="3"/>
    <n v="7"/>
    <x v="2"/>
    <n v="38103"/>
    <n v="35435.79"/>
  </r>
  <r>
    <s v="ORD238"/>
    <x v="29"/>
    <x v="0"/>
    <x v="2"/>
    <x v="0"/>
    <s v="Anjali"/>
    <n v="43023"/>
    <n v="6"/>
    <n v="30"/>
    <x v="0"/>
    <n v="258138"/>
    <n v="180696.6"/>
  </r>
  <r>
    <s v="ORD239"/>
    <x v="87"/>
    <x v="3"/>
    <x v="4"/>
    <x v="0"/>
    <s v="Amit"/>
    <n v="26945"/>
    <n v="2"/>
    <n v="1"/>
    <x v="2"/>
    <n v="53890"/>
    <n v="53351.1"/>
  </r>
  <r>
    <s v="ORD240"/>
    <x v="157"/>
    <x v="2"/>
    <x v="0"/>
    <x v="1"/>
    <s v="Rahul"/>
    <n v="6293"/>
    <n v="5"/>
    <n v="19"/>
    <x v="2"/>
    <n v="31465"/>
    <n v="25486.65"/>
  </r>
  <r>
    <s v="ORD242"/>
    <x v="158"/>
    <x v="1"/>
    <x v="3"/>
    <x v="1"/>
    <s v="Rahul"/>
    <n v="46040"/>
    <n v="5"/>
    <n v="3"/>
    <x v="0"/>
    <n v="230200"/>
    <n v="223294"/>
  </r>
  <r>
    <s v="ORD243"/>
    <x v="94"/>
    <x v="0"/>
    <x v="4"/>
    <x v="1"/>
    <s v="Ravi"/>
    <n v="19781"/>
    <n v="10"/>
    <n v="23"/>
    <x v="2"/>
    <n v="197810"/>
    <n v="152313.70000000001"/>
  </r>
  <r>
    <s v="ORD244"/>
    <x v="60"/>
    <x v="0"/>
    <x v="0"/>
    <x v="1"/>
    <s v="Ravi"/>
    <n v="44216"/>
    <n v="4"/>
    <n v="15"/>
    <x v="0"/>
    <n v="176864"/>
    <n v="150334.39999999999"/>
  </r>
  <r>
    <s v="ORD245"/>
    <x v="39"/>
    <x v="0"/>
    <x v="2"/>
    <x v="0"/>
    <s v="Priya"/>
    <n v="21889"/>
    <n v="4"/>
    <n v="24"/>
    <x v="1"/>
    <n v="87556"/>
    <n v="66542.559999999998"/>
  </r>
  <r>
    <s v="ORD246"/>
    <x v="132"/>
    <x v="1"/>
    <x v="2"/>
    <x v="0"/>
    <s v="Anjali"/>
    <n v="34561"/>
    <n v="3"/>
    <n v="6"/>
    <x v="2"/>
    <n v="103683"/>
    <n v="97462.02"/>
  </r>
  <r>
    <s v="ORD247"/>
    <x v="110"/>
    <x v="3"/>
    <x v="2"/>
    <x v="1"/>
    <s v="Amit"/>
    <n v="22172"/>
    <n v="6"/>
    <n v="1"/>
    <x v="1"/>
    <n v="133032"/>
    <n v="131701.68"/>
  </r>
  <r>
    <s v="ORD248"/>
    <x v="159"/>
    <x v="0"/>
    <x v="3"/>
    <x v="0"/>
    <s v="Amit"/>
    <n v="22172"/>
    <n v="1"/>
    <n v="0"/>
    <x v="0"/>
    <n v="22172"/>
    <n v="22172"/>
  </r>
  <r>
    <s v="ORD249"/>
    <x v="160"/>
    <x v="3"/>
    <x v="2"/>
    <x v="0"/>
    <s v="Sneha"/>
    <n v="37548"/>
    <n v="10"/>
    <n v="11"/>
    <x v="2"/>
    <n v="375480"/>
    <n v="334177.2"/>
  </r>
  <r>
    <s v="ORD250"/>
    <x v="58"/>
    <x v="1"/>
    <x v="4"/>
    <x v="1"/>
    <s v="Priya"/>
    <n v="24726"/>
    <n v="5"/>
    <n v="0"/>
    <x v="0"/>
    <n v="123630"/>
    <n v="123630"/>
  </r>
  <r>
    <s v="ORD251"/>
    <x v="161"/>
    <x v="3"/>
    <x v="3"/>
    <x v="0"/>
    <s v="Anjali"/>
    <n v="9263"/>
    <n v="6"/>
    <n v="12"/>
    <x v="2"/>
    <n v="55578"/>
    <n v="48908.639999999999"/>
  </r>
  <r>
    <s v="ORD252"/>
    <x v="162"/>
    <x v="0"/>
    <x v="2"/>
    <x v="0"/>
    <s v="Priya"/>
    <n v="44320"/>
    <n v="6"/>
    <n v="2"/>
    <x v="0"/>
    <n v="265920"/>
    <n v="260601.60000000001"/>
  </r>
  <r>
    <s v="ORD253"/>
    <x v="163"/>
    <x v="3"/>
    <x v="4"/>
    <x v="0"/>
    <s v="Rahul"/>
    <n v="10155"/>
    <n v="10"/>
    <n v="27"/>
    <x v="1"/>
    <n v="101550"/>
    <n v="74131.5"/>
  </r>
  <r>
    <s v="ORD254"/>
    <x v="164"/>
    <x v="2"/>
    <x v="4"/>
    <x v="1"/>
    <s v="Sneha"/>
    <n v="8284"/>
    <n v="1"/>
    <n v="10"/>
    <x v="0"/>
    <n v="8284"/>
    <n v="7455.6"/>
  </r>
  <r>
    <s v="ORD256"/>
    <x v="165"/>
    <x v="0"/>
    <x v="1"/>
    <x v="0"/>
    <s v="Anjali"/>
    <n v="6166"/>
    <n v="3"/>
    <n v="26"/>
    <x v="1"/>
    <n v="18498"/>
    <n v="13688.52"/>
  </r>
  <r>
    <s v="ORD257"/>
    <x v="60"/>
    <x v="3"/>
    <x v="3"/>
    <x v="1"/>
    <s v="Ravi"/>
    <n v="49412"/>
    <n v="3"/>
    <n v="15"/>
    <x v="0"/>
    <n v="148236"/>
    <n v="126000.6"/>
  </r>
  <r>
    <s v="ORD258"/>
    <x v="166"/>
    <x v="3"/>
    <x v="0"/>
    <x v="0"/>
    <s v="Amit"/>
    <n v="29190"/>
    <n v="2"/>
    <n v="21"/>
    <x v="1"/>
    <n v="58380"/>
    <n v="46120.2"/>
  </r>
  <r>
    <s v="ORD259"/>
    <x v="139"/>
    <x v="2"/>
    <x v="3"/>
    <x v="1"/>
    <s v="Anjali"/>
    <n v="11216"/>
    <n v="3"/>
    <n v="7"/>
    <x v="0"/>
    <n v="33648"/>
    <n v="31292.639999999999"/>
  </r>
  <r>
    <s v="ORD260"/>
    <x v="167"/>
    <x v="3"/>
    <x v="3"/>
    <x v="0"/>
    <s v="Anjali"/>
    <n v="9236"/>
    <n v="8"/>
    <n v="4"/>
    <x v="0"/>
    <n v="73888"/>
    <n v="70932.479999999996"/>
  </r>
  <r>
    <s v="ORD262"/>
    <x v="168"/>
    <x v="0"/>
    <x v="0"/>
    <x v="1"/>
    <s v="Sneha"/>
    <n v="604"/>
    <n v="5"/>
    <n v="0"/>
    <x v="0"/>
    <n v="3020"/>
    <n v="3020"/>
  </r>
  <r>
    <s v="ORD263"/>
    <x v="169"/>
    <x v="3"/>
    <x v="1"/>
    <x v="1"/>
    <s v="Rahul"/>
    <n v="36467"/>
    <n v="9"/>
    <n v="16"/>
    <x v="1"/>
    <n v="328203"/>
    <n v="275690.52"/>
  </r>
  <r>
    <s v="ORD266"/>
    <x v="170"/>
    <x v="2"/>
    <x v="3"/>
    <x v="0"/>
    <s v="Kiran"/>
    <n v="15838"/>
    <n v="7"/>
    <n v="1"/>
    <x v="2"/>
    <n v="110866"/>
    <n v="109757.34"/>
  </r>
  <r>
    <s v="ORD267"/>
    <x v="171"/>
    <x v="3"/>
    <x v="3"/>
    <x v="0"/>
    <s v="Amit"/>
    <n v="10862"/>
    <n v="5"/>
    <n v="9"/>
    <x v="0"/>
    <n v="54310"/>
    <n v="49422.1"/>
  </r>
  <r>
    <s v="ORD269"/>
    <x v="172"/>
    <x v="1"/>
    <x v="4"/>
    <x v="0"/>
    <s v="Priya"/>
    <n v="36857"/>
    <n v="6"/>
    <n v="18"/>
    <x v="2"/>
    <n v="221142"/>
    <n v="181336.44"/>
  </r>
  <r>
    <s v="ORD270"/>
    <x v="173"/>
    <x v="3"/>
    <x v="2"/>
    <x v="1"/>
    <s v="Anjali"/>
    <n v="5868"/>
    <n v="8"/>
    <n v="23"/>
    <x v="0"/>
    <n v="46944"/>
    <n v="36146.879999999997"/>
  </r>
  <r>
    <s v="ORD271"/>
    <x v="174"/>
    <x v="1"/>
    <x v="1"/>
    <x v="0"/>
    <s v="Ravi"/>
    <n v="27283"/>
    <n v="10"/>
    <n v="20"/>
    <x v="1"/>
    <n v="272830"/>
    <n v="218264"/>
  </r>
  <r>
    <s v="ORD272"/>
    <x v="103"/>
    <x v="3"/>
    <x v="1"/>
    <x v="1"/>
    <s v="Kiran"/>
    <n v="16907"/>
    <n v="7"/>
    <n v="24"/>
    <x v="1"/>
    <n v="118349"/>
    <n v="89945.24"/>
  </r>
  <r>
    <s v="ORD273"/>
    <x v="9"/>
    <x v="0"/>
    <x v="1"/>
    <x v="0"/>
    <s v="Kiran"/>
    <n v="3457"/>
    <n v="3"/>
    <n v="1"/>
    <x v="1"/>
    <n v="10371"/>
    <n v="10267.290000000001"/>
  </r>
  <r>
    <s v="ORD274"/>
    <x v="175"/>
    <x v="0"/>
    <x v="2"/>
    <x v="1"/>
    <s v="Ravi"/>
    <n v="46880"/>
    <n v="1"/>
    <n v="6"/>
    <x v="2"/>
    <n v="46880"/>
    <n v="44067.199999999997"/>
  </r>
  <r>
    <s v="ORD275"/>
    <x v="176"/>
    <x v="1"/>
    <x v="1"/>
    <x v="1"/>
    <s v="Ravi"/>
    <n v="39229"/>
    <n v="2"/>
    <n v="30"/>
    <x v="1"/>
    <n v="78458"/>
    <n v="54920.6"/>
  </r>
  <r>
    <s v="ORD277"/>
    <x v="177"/>
    <x v="1"/>
    <x v="2"/>
    <x v="1"/>
    <s v="Kiran"/>
    <n v="42638"/>
    <n v="1"/>
    <n v="29"/>
    <x v="2"/>
    <n v="42638"/>
    <n v="30272.98"/>
  </r>
  <r>
    <s v="ORD278"/>
    <x v="178"/>
    <x v="1"/>
    <x v="2"/>
    <x v="1"/>
    <s v="Rahul"/>
    <n v="21310"/>
    <n v="9"/>
    <n v="23"/>
    <x v="0"/>
    <n v="191790"/>
    <n v="147678.29999999999"/>
  </r>
  <r>
    <s v="ORD279"/>
    <x v="117"/>
    <x v="3"/>
    <x v="3"/>
    <x v="1"/>
    <s v="Amit"/>
    <n v="17420"/>
    <n v="8"/>
    <n v="5"/>
    <x v="2"/>
    <n v="139360"/>
    <n v="132392"/>
  </r>
  <r>
    <s v="ORD280"/>
    <x v="179"/>
    <x v="1"/>
    <x v="0"/>
    <x v="1"/>
    <s v="Kiran"/>
    <n v="31024"/>
    <n v="1"/>
    <n v="21"/>
    <x v="0"/>
    <n v="31024"/>
    <n v="24508.959999999999"/>
  </r>
  <r>
    <s v="ORD281"/>
    <x v="10"/>
    <x v="3"/>
    <x v="4"/>
    <x v="1"/>
    <s v="Kiran"/>
    <n v="16303"/>
    <n v="10"/>
    <n v="21"/>
    <x v="0"/>
    <n v="163030"/>
    <n v="128793.7"/>
  </r>
  <r>
    <s v="ORD282"/>
    <x v="32"/>
    <x v="3"/>
    <x v="4"/>
    <x v="1"/>
    <s v="Ravi"/>
    <n v="46737"/>
    <n v="10"/>
    <n v="18"/>
    <x v="2"/>
    <n v="467370"/>
    <n v="383243.4"/>
  </r>
  <r>
    <s v="ORD283"/>
    <x v="180"/>
    <x v="1"/>
    <x v="2"/>
    <x v="1"/>
    <s v="Priya"/>
    <n v="33471"/>
    <n v="4"/>
    <n v="11"/>
    <x v="0"/>
    <n v="133884"/>
    <n v="119156.76"/>
  </r>
  <r>
    <s v="ORD284"/>
    <x v="181"/>
    <x v="1"/>
    <x v="1"/>
    <x v="0"/>
    <s v="Ravi"/>
    <n v="27737"/>
    <n v="8"/>
    <n v="7"/>
    <x v="1"/>
    <n v="221896"/>
    <n v="206363.28"/>
  </r>
  <r>
    <s v="ORD285"/>
    <x v="96"/>
    <x v="1"/>
    <x v="0"/>
    <x v="0"/>
    <s v="Kiran"/>
    <n v="18031"/>
    <n v="8"/>
    <n v="22"/>
    <x v="0"/>
    <n v="144248"/>
    <n v="112513.44"/>
  </r>
  <r>
    <s v="ORD288"/>
    <x v="145"/>
    <x v="1"/>
    <x v="4"/>
    <x v="1"/>
    <s v="Ravi"/>
    <n v="388"/>
    <n v="3"/>
    <n v="27"/>
    <x v="0"/>
    <n v="1164"/>
    <n v="849.72"/>
  </r>
  <r>
    <s v="ORD289"/>
    <x v="182"/>
    <x v="2"/>
    <x v="1"/>
    <x v="1"/>
    <s v="Ravi"/>
    <n v="47922"/>
    <n v="4"/>
    <n v="5"/>
    <x v="2"/>
    <n v="191688"/>
    <n v="182103.6"/>
  </r>
  <r>
    <s v="ORD290"/>
    <x v="183"/>
    <x v="1"/>
    <x v="0"/>
    <x v="0"/>
    <s v="Rahul"/>
    <n v="16278"/>
    <n v="1"/>
    <n v="13"/>
    <x v="1"/>
    <n v="16278"/>
    <n v="14161.86"/>
  </r>
  <r>
    <s v="ORD291"/>
    <x v="37"/>
    <x v="0"/>
    <x v="2"/>
    <x v="0"/>
    <s v="Amit"/>
    <n v="29895"/>
    <n v="9"/>
    <n v="29"/>
    <x v="1"/>
    <n v="269055"/>
    <n v="191029.05"/>
  </r>
  <r>
    <s v="ORD294"/>
    <x v="184"/>
    <x v="3"/>
    <x v="1"/>
    <x v="0"/>
    <s v="Ravi"/>
    <n v="2828"/>
    <n v="4"/>
    <n v="14"/>
    <x v="1"/>
    <n v="11312"/>
    <n v="9728.32"/>
  </r>
  <r>
    <s v="ORD297"/>
    <x v="134"/>
    <x v="0"/>
    <x v="1"/>
    <x v="0"/>
    <s v="Amit"/>
    <n v="5677"/>
    <n v="10"/>
    <n v="21"/>
    <x v="0"/>
    <n v="56770"/>
    <n v="44848.3"/>
  </r>
  <r>
    <s v="ORD298"/>
    <x v="185"/>
    <x v="2"/>
    <x v="1"/>
    <x v="0"/>
    <s v="Kiran"/>
    <n v="42533"/>
    <n v="6"/>
    <n v="10"/>
    <x v="2"/>
    <n v="255198"/>
    <n v="229678.2"/>
  </r>
  <r>
    <s v="ORD299"/>
    <x v="186"/>
    <x v="1"/>
    <x v="0"/>
    <x v="1"/>
    <s v="Kiran"/>
    <n v="49656"/>
    <n v="7"/>
    <n v="5"/>
    <x v="0"/>
    <n v="347592"/>
    <n v="330212.40000000002"/>
  </r>
  <r>
    <s v="ORD300"/>
    <x v="131"/>
    <x v="3"/>
    <x v="0"/>
    <x v="0"/>
    <s v="Rahul"/>
    <n v="5353"/>
    <n v="2"/>
    <n v="23"/>
    <x v="2"/>
    <n v="10706"/>
    <n v="8243.619999999999"/>
  </r>
  <r>
    <s v="ORD301"/>
    <x v="187"/>
    <x v="1"/>
    <x v="0"/>
    <x v="1"/>
    <s v="Sneha"/>
    <n v="29528"/>
    <n v="9"/>
    <n v="7"/>
    <x v="2"/>
    <n v="265752"/>
    <n v="247149.36"/>
  </r>
  <r>
    <s v="ORD302"/>
    <x v="14"/>
    <x v="0"/>
    <x v="0"/>
    <x v="1"/>
    <s v="Sneha"/>
    <n v="30474"/>
    <n v="2"/>
    <n v="13"/>
    <x v="2"/>
    <n v="60948"/>
    <n v="53024.76"/>
  </r>
  <r>
    <s v="ORD303"/>
    <x v="188"/>
    <x v="2"/>
    <x v="4"/>
    <x v="0"/>
    <s v="Kiran"/>
    <n v="43161"/>
    <n v="5"/>
    <n v="27"/>
    <x v="0"/>
    <n v="215805"/>
    <n v="157537.65"/>
  </r>
  <r>
    <s v="ORD304"/>
    <x v="187"/>
    <x v="2"/>
    <x v="3"/>
    <x v="1"/>
    <s v="Sneha"/>
    <n v="5583"/>
    <n v="7"/>
    <n v="4"/>
    <x v="1"/>
    <n v="39081"/>
    <n v="37517.760000000002"/>
  </r>
  <r>
    <s v="ORD305"/>
    <x v="114"/>
    <x v="1"/>
    <x v="4"/>
    <x v="1"/>
    <s v="Anjali"/>
    <n v="12478"/>
    <n v="1"/>
    <n v="2"/>
    <x v="0"/>
    <n v="12478"/>
    <n v="12228.44"/>
  </r>
  <r>
    <s v="ORD306"/>
    <x v="73"/>
    <x v="3"/>
    <x v="1"/>
    <x v="0"/>
    <s v="Amit"/>
    <n v="40663"/>
    <n v="2"/>
    <n v="29"/>
    <x v="2"/>
    <n v="81326"/>
    <n v="57741.46"/>
  </r>
  <r>
    <s v="ORD307"/>
    <x v="136"/>
    <x v="1"/>
    <x v="0"/>
    <x v="0"/>
    <s v="Kiran"/>
    <n v="34855"/>
    <n v="5"/>
    <n v="8"/>
    <x v="0"/>
    <n v="174275"/>
    <n v="160333"/>
  </r>
  <r>
    <s v="ORD308"/>
    <x v="163"/>
    <x v="3"/>
    <x v="1"/>
    <x v="1"/>
    <s v="Anjali"/>
    <n v="35895"/>
    <n v="1"/>
    <n v="5"/>
    <x v="0"/>
    <n v="35895"/>
    <n v="34100.25"/>
  </r>
  <r>
    <s v="ORD309"/>
    <x v="189"/>
    <x v="0"/>
    <x v="3"/>
    <x v="0"/>
    <s v="Anjali"/>
    <n v="45678"/>
    <n v="7"/>
    <n v="24"/>
    <x v="1"/>
    <n v="319746"/>
    <n v="243006.96000000002"/>
  </r>
  <r>
    <s v="ORD310"/>
    <x v="186"/>
    <x v="1"/>
    <x v="0"/>
    <x v="1"/>
    <s v="Sneha"/>
    <n v="5124"/>
    <n v="2"/>
    <n v="14"/>
    <x v="0"/>
    <n v="10248"/>
    <n v="8813.2800000000007"/>
  </r>
  <r>
    <s v="ORD311"/>
    <x v="190"/>
    <x v="0"/>
    <x v="1"/>
    <x v="0"/>
    <s v="Rahul"/>
    <n v="31955"/>
    <n v="7"/>
    <n v="19"/>
    <x v="2"/>
    <n v="223685"/>
    <n v="181184.85"/>
  </r>
  <r>
    <s v="ORD312"/>
    <x v="8"/>
    <x v="3"/>
    <x v="2"/>
    <x v="1"/>
    <s v="Priya"/>
    <n v="11769"/>
    <n v="9"/>
    <n v="4"/>
    <x v="1"/>
    <n v="105921"/>
    <n v="101684.16"/>
  </r>
  <r>
    <s v="ORD313"/>
    <x v="191"/>
    <x v="0"/>
    <x v="0"/>
    <x v="0"/>
    <s v="Anjali"/>
    <n v="25182"/>
    <n v="2"/>
    <n v="28"/>
    <x v="0"/>
    <n v="50364"/>
    <n v="36262.080000000002"/>
  </r>
  <r>
    <s v="ORD314"/>
    <x v="3"/>
    <x v="2"/>
    <x v="0"/>
    <x v="1"/>
    <s v="Anjali"/>
    <n v="3322"/>
    <n v="5"/>
    <n v="9"/>
    <x v="1"/>
    <n v="16610"/>
    <n v="15115.1"/>
  </r>
  <r>
    <s v="ORD315"/>
    <x v="192"/>
    <x v="2"/>
    <x v="4"/>
    <x v="0"/>
    <s v="Sneha"/>
    <n v="32484"/>
    <n v="7"/>
    <n v="19"/>
    <x v="0"/>
    <n v="227388"/>
    <n v="184184.28"/>
  </r>
  <r>
    <s v="ORD316"/>
    <x v="193"/>
    <x v="1"/>
    <x v="4"/>
    <x v="1"/>
    <s v="Sneha"/>
    <n v="41914"/>
    <n v="8"/>
    <n v="15"/>
    <x v="2"/>
    <n v="335312"/>
    <n v="285015.2"/>
  </r>
  <r>
    <s v="ORD317"/>
    <x v="194"/>
    <x v="1"/>
    <x v="1"/>
    <x v="0"/>
    <s v="Priya"/>
    <n v="13584"/>
    <n v="10"/>
    <n v="17"/>
    <x v="0"/>
    <n v="135840"/>
    <n v="112747.2"/>
  </r>
  <r>
    <s v="ORD318"/>
    <x v="195"/>
    <x v="2"/>
    <x v="4"/>
    <x v="0"/>
    <s v="Kiran"/>
    <n v="34802"/>
    <n v="2"/>
    <n v="27"/>
    <x v="0"/>
    <n v="69604"/>
    <n v="50810.92"/>
  </r>
  <r>
    <s v="ORD319"/>
    <x v="111"/>
    <x v="3"/>
    <x v="4"/>
    <x v="0"/>
    <s v="Amit"/>
    <n v="3826"/>
    <n v="4"/>
    <n v="15"/>
    <x v="2"/>
    <n v="15304"/>
    <n v="13008.4"/>
  </r>
  <r>
    <s v="ORD320"/>
    <x v="196"/>
    <x v="1"/>
    <x v="4"/>
    <x v="1"/>
    <s v="Amit"/>
    <n v="6891"/>
    <n v="3"/>
    <n v="22"/>
    <x v="2"/>
    <n v="20673"/>
    <n v="16124.939999999999"/>
  </r>
  <r>
    <s v="ORD321"/>
    <x v="185"/>
    <x v="2"/>
    <x v="4"/>
    <x v="1"/>
    <s v="Kiran"/>
    <n v="33042"/>
    <n v="8"/>
    <n v="6"/>
    <x v="2"/>
    <n v="264336"/>
    <n v="248475.84"/>
  </r>
  <r>
    <s v="ORD322"/>
    <x v="197"/>
    <x v="0"/>
    <x v="0"/>
    <x v="0"/>
    <s v="Amit"/>
    <n v="12500"/>
    <n v="10"/>
    <n v="23"/>
    <x v="2"/>
    <n v="125000"/>
    <n v="96250"/>
  </r>
  <r>
    <s v="ORD323"/>
    <x v="198"/>
    <x v="3"/>
    <x v="3"/>
    <x v="0"/>
    <s v="Amit"/>
    <n v="3793"/>
    <n v="5"/>
    <n v="1"/>
    <x v="0"/>
    <n v="18965"/>
    <n v="18775.349999999999"/>
  </r>
  <r>
    <s v="ORD324"/>
    <x v="199"/>
    <x v="2"/>
    <x v="1"/>
    <x v="0"/>
    <s v="Rahul"/>
    <n v="37250"/>
    <n v="10"/>
    <n v="22"/>
    <x v="0"/>
    <n v="372500"/>
    <n v="290550"/>
  </r>
  <r>
    <s v="ORD325"/>
    <x v="13"/>
    <x v="2"/>
    <x v="0"/>
    <x v="1"/>
    <s v="Anjali"/>
    <n v="662"/>
    <n v="4"/>
    <n v="26"/>
    <x v="0"/>
    <n v="2648"/>
    <n v="1959.52"/>
  </r>
  <r>
    <s v="ORD326"/>
    <x v="96"/>
    <x v="2"/>
    <x v="4"/>
    <x v="1"/>
    <s v="Kiran"/>
    <n v="20509"/>
    <n v="7"/>
    <n v="26"/>
    <x v="0"/>
    <n v="143563"/>
    <n v="106236.62"/>
  </r>
  <r>
    <s v="ORD327"/>
    <x v="200"/>
    <x v="1"/>
    <x v="4"/>
    <x v="0"/>
    <s v="Kiran"/>
    <n v="28946"/>
    <n v="10"/>
    <n v="10"/>
    <x v="1"/>
    <n v="289460"/>
    <n v="260514"/>
  </r>
  <r>
    <s v="ORD329"/>
    <x v="50"/>
    <x v="0"/>
    <x v="2"/>
    <x v="1"/>
    <s v="Rahul"/>
    <n v="26239"/>
    <n v="5"/>
    <n v="7"/>
    <x v="1"/>
    <n v="131195"/>
    <n v="122011.35"/>
  </r>
  <r>
    <s v="ORD330"/>
    <x v="99"/>
    <x v="0"/>
    <x v="0"/>
    <x v="1"/>
    <s v="Sneha"/>
    <n v="32619"/>
    <n v="4"/>
    <n v="14"/>
    <x v="0"/>
    <n v="130476"/>
    <n v="112209.36"/>
  </r>
  <r>
    <s v="ORD331"/>
    <x v="97"/>
    <x v="0"/>
    <x v="1"/>
    <x v="1"/>
    <s v="Rahul"/>
    <n v="18479"/>
    <n v="7"/>
    <n v="26"/>
    <x v="0"/>
    <n v="129353"/>
    <n v="95721.22"/>
  </r>
  <r>
    <s v="ORD333"/>
    <x v="201"/>
    <x v="0"/>
    <x v="2"/>
    <x v="0"/>
    <s v="Kiran"/>
    <n v="2602"/>
    <n v="8"/>
    <n v="0"/>
    <x v="0"/>
    <n v="20816"/>
    <n v="20816"/>
  </r>
  <r>
    <s v="ORD334"/>
    <x v="37"/>
    <x v="1"/>
    <x v="2"/>
    <x v="0"/>
    <s v="Priya"/>
    <n v="3468"/>
    <n v="1"/>
    <n v="21"/>
    <x v="1"/>
    <n v="3468"/>
    <n v="2739.7200000000003"/>
  </r>
  <r>
    <s v="ORD336"/>
    <x v="182"/>
    <x v="0"/>
    <x v="4"/>
    <x v="0"/>
    <s v="Ravi"/>
    <n v="41255"/>
    <n v="2"/>
    <n v="19"/>
    <x v="0"/>
    <n v="82510"/>
    <n v="66833.100000000006"/>
  </r>
  <r>
    <s v="ORD337"/>
    <x v="183"/>
    <x v="0"/>
    <x v="0"/>
    <x v="0"/>
    <s v="Priya"/>
    <n v="32459"/>
    <n v="7"/>
    <n v="26"/>
    <x v="1"/>
    <n v="227213"/>
    <n v="168137.62"/>
  </r>
  <r>
    <s v="ORD339"/>
    <x v="202"/>
    <x v="2"/>
    <x v="1"/>
    <x v="1"/>
    <s v="Amit"/>
    <n v="19448"/>
    <n v="10"/>
    <n v="29"/>
    <x v="1"/>
    <n v="194480"/>
    <n v="138080.79999999999"/>
  </r>
  <r>
    <s v="ORD340"/>
    <x v="203"/>
    <x v="1"/>
    <x v="1"/>
    <x v="1"/>
    <s v="Sneha"/>
    <n v="37754"/>
    <n v="10"/>
    <n v="1"/>
    <x v="1"/>
    <n v="377540"/>
    <n v="373764.6"/>
  </r>
  <r>
    <s v="ORD341"/>
    <x v="141"/>
    <x v="1"/>
    <x v="3"/>
    <x v="1"/>
    <s v="Anjali"/>
    <n v="31035"/>
    <n v="10"/>
    <n v="25"/>
    <x v="0"/>
    <n v="310350"/>
    <n v="232762.5"/>
  </r>
  <r>
    <s v="ORD342"/>
    <x v="204"/>
    <x v="2"/>
    <x v="2"/>
    <x v="0"/>
    <s v="Kiran"/>
    <n v="40440"/>
    <n v="10"/>
    <n v="2"/>
    <x v="2"/>
    <n v="404400"/>
    <n v="396312"/>
  </r>
  <r>
    <s v="ORD345"/>
    <x v="117"/>
    <x v="0"/>
    <x v="2"/>
    <x v="0"/>
    <s v="Priya"/>
    <n v="41221"/>
    <n v="1"/>
    <n v="23"/>
    <x v="0"/>
    <n v="41221"/>
    <n v="31740.17"/>
  </r>
  <r>
    <s v="ORD346"/>
    <x v="205"/>
    <x v="0"/>
    <x v="4"/>
    <x v="1"/>
    <s v="Amit"/>
    <n v="22183"/>
    <n v="5"/>
    <n v="8"/>
    <x v="2"/>
    <n v="110915"/>
    <n v="102041.8"/>
  </r>
  <r>
    <s v="ORD347"/>
    <x v="149"/>
    <x v="1"/>
    <x v="1"/>
    <x v="0"/>
    <s v="Amit"/>
    <n v="26307"/>
    <n v="1"/>
    <n v="27"/>
    <x v="2"/>
    <n v="26307"/>
    <n v="19204.11"/>
  </r>
  <r>
    <s v="ORD348"/>
    <x v="206"/>
    <x v="3"/>
    <x v="1"/>
    <x v="1"/>
    <s v="Priya"/>
    <n v="43340"/>
    <n v="9"/>
    <n v="5"/>
    <x v="2"/>
    <n v="390060"/>
    <n v="370557"/>
  </r>
  <r>
    <s v="ORD349"/>
    <x v="140"/>
    <x v="0"/>
    <x v="0"/>
    <x v="0"/>
    <s v="Priya"/>
    <n v="21944"/>
    <n v="4"/>
    <n v="6"/>
    <x v="0"/>
    <n v="87776"/>
    <n v="82509.440000000002"/>
  </r>
  <r>
    <s v="ORD350"/>
    <x v="207"/>
    <x v="2"/>
    <x v="3"/>
    <x v="1"/>
    <s v="Sneha"/>
    <n v="49522"/>
    <n v="6"/>
    <n v="23"/>
    <x v="0"/>
    <n v="297132"/>
    <n v="228791.64"/>
  </r>
  <r>
    <s v="ORD351"/>
    <x v="208"/>
    <x v="3"/>
    <x v="3"/>
    <x v="1"/>
    <s v="Amit"/>
    <n v="30474"/>
    <n v="5"/>
    <n v="12"/>
    <x v="1"/>
    <n v="152370"/>
    <n v="134085.6"/>
  </r>
  <r>
    <s v="ORD352"/>
    <x v="209"/>
    <x v="1"/>
    <x v="4"/>
    <x v="0"/>
    <s v="Priya"/>
    <n v="23208"/>
    <n v="7"/>
    <n v="30"/>
    <x v="2"/>
    <n v="162456"/>
    <n v="113719.2"/>
  </r>
  <r>
    <s v="ORD353"/>
    <x v="126"/>
    <x v="2"/>
    <x v="0"/>
    <x v="0"/>
    <s v="Rahul"/>
    <n v="18626"/>
    <n v="8"/>
    <n v="15"/>
    <x v="2"/>
    <n v="149008"/>
    <n v="126656.8"/>
  </r>
  <r>
    <s v="ORD354"/>
    <x v="198"/>
    <x v="2"/>
    <x v="1"/>
    <x v="1"/>
    <s v="Ravi"/>
    <n v="20911"/>
    <n v="6"/>
    <n v="3"/>
    <x v="0"/>
    <n v="125466"/>
    <n v="121702.02"/>
  </r>
  <r>
    <s v="ORD355"/>
    <x v="210"/>
    <x v="3"/>
    <x v="3"/>
    <x v="0"/>
    <s v="Ravi"/>
    <n v="4704"/>
    <n v="7"/>
    <n v="18"/>
    <x v="0"/>
    <n v="32928"/>
    <n v="27000.959999999999"/>
  </r>
  <r>
    <s v="ORD356"/>
    <x v="211"/>
    <x v="2"/>
    <x v="0"/>
    <x v="1"/>
    <s v="Rahul"/>
    <n v="15725"/>
    <n v="8"/>
    <n v="28"/>
    <x v="0"/>
    <n v="125800"/>
    <n v="90576"/>
  </r>
  <r>
    <s v="ORD357"/>
    <x v="70"/>
    <x v="0"/>
    <x v="4"/>
    <x v="0"/>
    <s v="Anjali"/>
    <n v="31421"/>
    <n v="3"/>
    <n v="2"/>
    <x v="1"/>
    <n v="94263"/>
    <n v="92377.74"/>
  </r>
  <r>
    <s v="ORD358"/>
    <x v="212"/>
    <x v="3"/>
    <x v="3"/>
    <x v="1"/>
    <s v="Anjali"/>
    <n v="49800"/>
    <n v="8"/>
    <n v="2"/>
    <x v="2"/>
    <n v="398400"/>
    <n v="390432"/>
  </r>
  <r>
    <s v="ORD359"/>
    <x v="184"/>
    <x v="1"/>
    <x v="0"/>
    <x v="0"/>
    <s v="Ravi"/>
    <n v="1097"/>
    <n v="1"/>
    <n v="28"/>
    <x v="0"/>
    <n v="1097"/>
    <n v="789.83999999999992"/>
  </r>
  <r>
    <s v="ORD360"/>
    <x v="2"/>
    <x v="0"/>
    <x v="2"/>
    <x v="1"/>
    <s v="Sneha"/>
    <n v="34150"/>
    <n v="6"/>
    <n v="18"/>
    <x v="0"/>
    <n v="204900"/>
    <n v="168018"/>
  </r>
  <r>
    <s v="ORD361"/>
    <x v="213"/>
    <x v="0"/>
    <x v="1"/>
    <x v="1"/>
    <s v="Sneha"/>
    <n v="11950"/>
    <n v="8"/>
    <n v="1"/>
    <x v="1"/>
    <n v="95600"/>
    <n v="94644"/>
  </r>
  <r>
    <s v="ORD362"/>
    <x v="26"/>
    <x v="2"/>
    <x v="4"/>
    <x v="1"/>
    <s v="Anjali"/>
    <n v="6566"/>
    <n v="10"/>
    <n v="27"/>
    <x v="1"/>
    <n v="65660"/>
    <n v="47931.8"/>
  </r>
  <r>
    <s v="ORD363"/>
    <x v="26"/>
    <x v="2"/>
    <x v="2"/>
    <x v="1"/>
    <s v="Priya"/>
    <n v="2345"/>
    <n v="4"/>
    <n v="30"/>
    <x v="1"/>
    <n v="9380"/>
    <n v="6566"/>
  </r>
  <r>
    <s v="ORD364"/>
    <x v="155"/>
    <x v="3"/>
    <x v="2"/>
    <x v="0"/>
    <s v="Sneha"/>
    <n v="26260"/>
    <n v="1"/>
    <n v="11"/>
    <x v="0"/>
    <n v="26260"/>
    <n v="23371.4"/>
  </r>
  <r>
    <s v="ORD365"/>
    <x v="214"/>
    <x v="2"/>
    <x v="1"/>
    <x v="1"/>
    <s v="Priya"/>
    <n v="19459"/>
    <n v="9"/>
    <n v="15"/>
    <x v="0"/>
    <n v="175131"/>
    <n v="148861.35"/>
  </r>
  <r>
    <s v="ORD366"/>
    <x v="177"/>
    <x v="3"/>
    <x v="4"/>
    <x v="1"/>
    <s v="Sneha"/>
    <n v="21322"/>
    <n v="5"/>
    <n v="5"/>
    <x v="2"/>
    <n v="106610"/>
    <n v="101279.5"/>
  </r>
  <r>
    <s v="ORD367"/>
    <x v="215"/>
    <x v="1"/>
    <x v="1"/>
    <x v="0"/>
    <s v="Rahul"/>
    <n v="27425"/>
    <n v="3"/>
    <n v="10"/>
    <x v="2"/>
    <n v="82275"/>
    <n v="74047.5"/>
  </r>
  <r>
    <s v="ORD368"/>
    <x v="180"/>
    <x v="1"/>
    <x v="1"/>
    <x v="0"/>
    <s v="Amit"/>
    <n v="17827"/>
    <n v="2"/>
    <n v="4"/>
    <x v="1"/>
    <n v="35654"/>
    <n v="34227.839999999997"/>
  </r>
  <r>
    <s v="ORD369"/>
    <x v="5"/>
    <x v="3"/>
    <x v="4"/>
    <x v="0"/>
    <s v="Ravi"/>
    <n v="32111"/>
    <n v="4"/>
    <n v="2"/>
    <x v="1"/>
    <n v="128444"/>
    <n v="125875.12"/>
  </r>
  <r>
    <s v="ORD370"/>
    <x v="216"/>
    <x v="0"/>
    <x v="0"/>
    <x v="1"/>
    <s v="Rahul"/>
    <n v="33487"/>
    <n v="3"/>
    <n v="18"/>
    <x v="1"/>
    <n v="100461"/>
    <n v="82378.02"/>
  </r>
  <r>
    <s v="ORD372"/>
    <x v="53"/>
    <x v="0"/>
    <x v="0"/>
    <x v="1"/>
    <s v="Kiran"/>
    <n v="49055"/>
    <n v="5"/>
    <n v="21"/>
    <x v="0"/>
    <n v="245275"/>
    <n v="193767.25"/>
  </r>
  <r>
    <s v="ORD373"/>
    <x v="96"/>
    <x v="0"/>
    <x v="3"/>
    <x v="0"/>
    <s v="Amit"/>
    <n v="47454"/>
    <n v="4"/>
    <n v="14"/>
    <x v="2"/>
    <n v="189816"/>
    <n v="163241.76"/>
  </r>
  <r>
    <s v="ORD374"/>
    <x v="217"/>
    <x v="1"/>
    <x v="0"/>
    <x v="0"/>
    <s v="Rahul"/>
    <n v="22762"/>
    <n v="1"/>
    <n v="19"/>
    <x v="0"/>
    <n v="22762"/>
    <n v="18437.22"/>
  </r>
  <r>
    <s v="ORD375"/>
    <x v="22"/>
    <x v="0"/>
    <x v="0"/>
    <x v="0"/>
    <s v="Anjali"/>
    <n v="5068"/>
    <n v="2"/>
    <n v="28"/>
    <x v="2"/>
    <n v="10136"/>
    <n v="7297.92"/>
  </r>
  <r>
    <s v="ORD376"/>
    <x v="108"/>
    <x v="3"/>
    <x v="2"/>
    <x v="1"/>
    <s v="Ravi"/>
    <n v="25718"/>
    <n v="1"/>
    <n v="12"/>
    <x v="0"/>
    <n v="25718"/>
    <n v="22631.84"/>
  </r>
  <r>
    <s v="ORD377"/>
    <x v="44"/>
    <x v="0"/>
    <x v="2"/>
    <x v="1"/>
    <s v="Rahul"/>
    <n v="38486"/>
    <n v="5"/>
    <n v="26"/>
    <x v="1"/>
    <n v="192430"/>
    <n v="142398.20000000001"/>
  </r>
  <r>
    <s v="ORD378"/>
    <x v="218"/>
    <x v="3"/>
    <x v="3"/>
    <x v="1"/>
    <s v="Rahul"/>
    <n v="44414"/>
    <n v="6"/>
    <n v="21"/>
    <x v="2"/>
    <n v="266484"/>
    <n v="210522.36"/>
  </r>
  <r>
    <s v="ORD379"/>
    <x v="188"/>
    <x v="2"/>
    <x v="2"/>
    <x v="1"/>
    <s v="Amit"/>
    <n v="18816"/>
    <n v="10"/>
    <n v="12"/>
    <x v="1"/>
    <n v="188160"/>
    <n v="165580.79999999999"/>
  </r>
  <r>
    <s v="ORD380"/>
    <x v="147"/>
    <x v="2"/>
    <x v="3"/>
    <x v="0"/>
    <s v="Rahul"/>
    <n v="8473"/>
    <n v="7"/>
    <n v="0"/>
    <x v="1"/>
    <n v="59311"/>
    <n v="59311"/>
  </r>
  <r>
    <s v="ORD381"/>
    <x v="33"/>
    <x v="3"/>
    <x v="4"/>
    <x v="1"/>
    <s v="Anjali"/>
    <n v="3957"/>
    <n v="7"/>
    <n v="12"/>
    <x v="2"/>
    <n v="27699"/>
    <n v="24375.119999999999"/>
  </r>
  <r>
    <s v="ORD383"/>
    <x v="115"/>
    <x v="2"/>
    <x v="2"/>
    <x v="1"/>
    <s v="Ravi"/>
    <n v="11944"/>
    <n v="6"/>
    <n v="8"/>
    <x v="1"/>
    <n v="71664"/>
    <n v="65930.880000000005"/>
  </r>
  <r>
    <s v="ORD384"/>
    <x v="81"/>
    <x v="1"/>
    <x v="3"/>
    <x v="1"/>
    <s v="Ravi"/>
    <n v="30324"/>
    <n v="7"/>
    <n v="17"/>
    <x v="2"/>
    <n v="212268"/>
    <n v="176182.44"/>
  </r>
  <r>
    <s v="ORD385"/>
    <x v="44"/>
    <x v="3"/>
    <x v="1"/>
    <x v="1"/>
    <s v="Priya"/>
    <n v="35136"/>
    <n v="4"/>
    <n v="8"/>
    <x v="0"/>
    <n v="140544"/>
    <n v="129300.48"/>
  </r>
  <r>
    <s v="ORD386"/>
    <x v="206"/>
    <x v="3"/>
    <x v="0"/>
    <x v="1"/>
    <s v="Kiran"/>
    <n v="26076"/>
    <n v="3"/>
    <n v="23"/>
    <x v="2"/>
    <n v="78228"/>
    <n v="60235.56"/>
  </r>
  <r>
    <s v="ORD387"/>
    <x v="219"/>
    <x v="0"/>
    <x v="2"/>
    <x v="1"/>
    <s v="Anjali"/>
    <n v="37387"/>
    <n v="7"/>
    <n v="17"/>
    <x v="2"/>
    <n v="261709"/>
    <n v="217218.47"/>
  </r>
  <r>
    <s v="ORD388"/>
    <x v="220"/>
    <x v="1"/>
    <x v="4"/>
    <x v="1"/>
    <s v="Priya"/>
    <n v="22199"/>
    <n v="5"/>
    <n v="1"/>
    <x v="0"/>
    <n v="110995"/>
    <n v="109885.05"/>
  </r>
  <r>
    <s v="ORD390"/>
    <x v="156"/>
    <x v="1"/>
    <x v="3"/>
    <x v="0"/>
    <s v="Rahul"/>
    <n v="47477"/>
    <n v="1"/>
    <n v="20"/>
    <x v="1"/>
    <n v="47477"/>
    <n v="37981.599999999999"/>
  </r>
  <r>
    <s v="ORD391"/>
    <x v="68"/>
    <x v="3"/>
    <x v="3"/>
    <x v="0"/>
    <s v="Anjali"/>
    <n v="40505"/>
    <n v="10"/>
    <n v="30"/>
    <x v="0"/>
    <n v="405050"/>
    <n v="283535"/>
  </r>
  <r>
    <s v="ORD392"/>
    <x v="69"/>
    <x v="3"/>
    <x v="3"/>
    <x v="1"/>
    <s v="Anjali"/>
    <n v="35307"/>
    <n v="6"/>
    <n v="0"/>
    <x v="2"/>
    <n v="211842"/>
    <n v="211842"/>
  </r>
  <r>
    <s v="ORD394"/>
    <x v="221"/>
    <x v="3"/>
    <x v="0"/>
    <x v="1"/>
    <s v="Sneha"/>
    <n v="20634"/>
    <n v="5"/>
    <n v="15"/>
    <x v="1"/>
    <n v="103170"/>
    <n v="87694.5"/>
  </r>
  <r>
    <s v="ORD395"/>
    <x v="222"/>
    <x v="0"/>
    <x v="0"/>
    <x v="1"/>
    <s v="Ravi"/>
    <n v="44371"/>
    <n v="8"/>
    <n v="14"/>
    <x v="2"/>
    <n v="354968"/>
    <n v="305272.48"/>
  </r>
  <r>
    <s v="ORD396"/>
    <x v="5"/>
    <x v="1"/>
    <x v="3"/>
    <x v="1"/>
    <s v="Ravi"/>
    <n v="30663"/>
    <n v="7"/>
    <n v="30"/>
    <x v="0"/>
    <n v="214641"/>
    <n v="150248.70000000001"/>
  </r>
  <r>
    <s v="ORD397"/>
    <x v="223"/>
    <x v="1"/>
    <x v="1"/>
    <x v="1"/>
    <s v="Ravi"/>
    <n v="6921"/>
    <n v="6"/>
    <n v="10"/>
    <x v="1"/>
    <n v="41526"/>
    <n v="37373.4"/>
  </r>
  <r>
    <s v="ORD398"/>
    <x v="30"/>
    <x v="0"/>
    <x v="0"/>
    <x v="1"/>
    <s v="Amit"/>
    <n v="13622"/>
    <n v="10"/>
    <n v="8"/>
    <x v="2"/>
    <n v="136220"/>
    <n v="125322.4"/>
  </r>
  <r>
    <s v="ORD399"/>
    <x v="180"/>
    <x v="2"/>
    <x v="2"/>
    <x v="1"/>
    <s v="Kiran"/>
    <n v="8258"/>
    <n v="8"/>
    <n v="0"/>
    <x v="1"/>
    <n v="66064"/>
    <n v="66064"/>
  </r>
  <r>
    <s v="ORD400"/>
    <x v="224"/>
    <x v="1"/>
    <x v="4"/>
    <x v="0"/>
    <s v="Amit"/>
    <n v="32728"/>
    <n v="1"/>
    <n v="9"/>
    <x v="2"/>
    <n v="32728"/>
    <n v="29782.48"/>
  </r>
  <r>
    <s v="ORD401"/>
    <x v="3"/>
    <x v="3"/>
    <x v="4"/>
    <x v="1"/>
    <s v="Kiran"/>
    <n v="42095"/>
    <n v="6"/>
    <n v="17"/>
    <x v="2"/>
    <n v="252570"/>
    <n v="209633.1"/>
  </r>
  <r>
    <s v="ORD402"/>
    <x v="92"/>
    <x v="3"/>
    <x v="2"/>
    <x v="0"/>
    <s v="Sneha"/>
    <n v="44014"/>
    <n v="7"/>
    <n v="18"/>
    <x v="0"/>
    <n v="308098"/>
    <n v="252640.36"/>
  </r>
  <r>
    <s v="ORD404"/>
    <x v="225"/>
    <x v="0"/>
    <x v="2"/>
    <x v="1"/>
    <s v="Sneha"/>
    <n v="40380"/>
    <n v="7"/>
    <n v="5"/>
    <x v="1"/>
    <n v="282660"/>
    <n v="268527"/>
  </r>
  <r>
    <s v="ORD405"/>
    <x v="20"/>
    <x v="0"/>
    <x v="4"/>
    <x v="1"/>
    <s v="Rahul"/>
    <n v="9775"/>
    <n v="9"/>
    <n v="8"/>
    <x v="1"/>
    <n v="87975"/>
    <n v="80937"/>
  </r>
  <r>
    <s v="ORD406"/>
    <x v="226"/>
    <x v="2"/>
    <x v="1"/>
    <x v="0"/>
    <s v="Priya"/>
    <n v="13462"/>
    <n v="8"/>
    <n v="28"/>
    <x v="2"/>
    <n v="107696"/>
    <n v="77541.119999999995"/>
  </r>
  <r>
    <s v="ORD408"/>
    <x v="9"/>
    <x v="3"/>
    <x v="0"/>
    <x v="0"/>
    <s v="Priya"/>
    <n v="23485"/>
    <n v="10"/>
    <n v="18"/>
    <x v="2"/>
    <n v="234850"/>
    <n v="192577"/>
  </r>
  <r>
    <s v="ORD409"/>
    <x v="227"/>
    <x v="2"/>
    <x v="4"/>
    <x v="1"/>
    <s v="Kiran"/>
    <n v="2295"/>
    <n v="7"/>
    <n v="13"/>
    <x v="1"/>
    <n v="16065"/>
    <n v="13976.55"/>
  </r>
  <r>
    <s v="ORD410"/>
    <x v="228"/>
    <x v="0"/>
    <x v="2"/>
    <x v="1"/>
    <s v="Anjali"/>
    <n v="1511"/>
    <n v="2"/>
    <n v="8"/>
    <x v="0"/>
    <n v="3022"/>
    <n v="2780.24"/>
  </r>
  <r>
    <s v="ORD414"/>
    <x v="83"/>
    <x v="2"/>
    <x v="4"/>
    <x v="1"/>
    <s v="Anjali"/>
    <n v="22904"/>
    <n v="10"/>
    <n v="4"/>
    <x v="1"/>
    <n v="229040"/>
    <n v="219878.39999999999"/>
  </r>
  <r>
    <s v="ORD415"/>
    <x v="229"/>
    <x v="2"/>
    <x v="0"/>
    <x v="0"/>
    <s v="Sneha"/>
    <n v="20177"/>
    <n v="3"/>
    <n v="6"/>
    <x v="0"/>
    <n v="60531"/>
    <n v="56899.14"/>
  </r>
  <r>
    <s v="ORD416"/>
    <x v="230"/>
    <x v="0"/>
    <x v="0"/>
    <x v="0"/>
    <s v="Ravi"/>
    <n v="10127"/>
    <n v="7"/>
    <n v="2"/>
    <x v="1"/>
    <n v="70889"/>
    <n v="69471.22"/>
  </r>
  <r>
    <s v="ORD417"/>
    <x v="96"/>
    <x v="1"/>
    <x v="0"/>
    <x v="1"/>
    <s v="Rahul"/>
    <n v="4768"/>
    <n v="5"/>
    <n v="22"/>
    <x v="0"/>
    <n v="23840"/>
    <n v="18595.2"/>
  </r>
  <r>
    <s v="ORD418"/>
    <x v="41"/>
    <x v="1"/>
    <x v="1"/>
    <x v="0"/>
    <s v="Rahul"/>
    <n v="34351"/>
    <n v="2"/>
    <n v="17"/>
    <x v="1"/>
    <n v="68702"/>
    <n v="57022.66"/>
  </r>
  <r>
    <s v="ORD419"/>
    <x v="231"/>
    <x v="3"/>
    <x v="2"/>
    <x v="1"/>
    <s v="Anjali"/>
    <n v="14341"/>
    <n v="8"/>
    <n v="5"/>
    <x v="2"/>
    <n v="114728"/>
    <n v="108991.6"/>
  </r>
  <r>
    <s v="ORD420"/>
    <x v="232"/>
    <x v="3"/>
    <x v="1"/>
    <x v="0"/>
    <s v="Sneha"/>
    <n v="18013"/>
    <n v="6"/>
    <n v="30"/>
    <x v="2"/>
    <n v="108078"/>
    <n v="75654.600000000006"/>
  </r>
  <r>
    <s v="ORD421"/>
    <x v="231"/>
    <x v="2"/>
    <x v="0"/>
    <x v="0"/>
    <s v="Anjali"/>
    <n v="38670"/>
    <n v="3"/>
    <n v="5"/>
    <x v="0"/>
    <n v="116010"/>
    <n v="110209.5"/>
  </r>
  <r>
    <s v="ORD422"/>
    <x v="68"/>
    <x v="2"/>
    <x v="4"/>
    <x v="1"/>
    <s v="Ravi"/>
    <n v="5533"/>
    <n v="4"/>
    <n v="14"/>
    <x v="1"/>
    <n v="22132"/>
    <n v="19033.52"/>
  </r>
  <r>
    <s v="ORD423"/>
    <x v="218"/>
    <x v="1"/>
    <x v="0"/>
    <x v="1"/>
    <s v="Rahul"/>
    <n v="49138"/>
    <n v="7"/>
    <n v="25"/>
    <x v="0"/>
    <n v="343966"/>
    <n v="257974.5"/>
  </r>
  <r>
    <s v="ORD424"/>
    <x v="233"/>
    <x v="1"/>
    <x v="3"/>
    <x v="1"/>
    <s v="Rahul"/>
    <n v="18522"/>
    <n v="8"/>
    <n v="0"/>
    <x v="0"/>
    <n v="148176"/>
    <n v="148176"/>
  </r>
  <r>
    <s v="ORD425"/>
    <x v="124"/>
    <x v="2"/>
    <x v="0"/>
    <x v="1"/>
    <s v="Amit"/>
    <n v="33130"/>
    <n v="5"/>
    <n v="16"/>
    <x v="0"/>
    <n v="165650"/>
    <n v="139146"/>
  </r>
  <r>
    <s v="ORD427"/>
    <x v="234"/>
    <x v="1"/>
    <x v="1"/>
    <x v="1"/>
    <s v="Amit"/>
    <n v="25238"/>
    <n v="5"/>
    <n v="30"/>
    <x v="2"/>
    <n v="126190"/>
    <n v="88333"/>
  </r>
  <r>
    <s v="ORD428"/>
    <x v="131"/>
    <x v="1"/>
    <x v="0"/>
    <x v="0"/>
    <s v="Ravi"/>
    <n v="4125"/>
    <n v="7"/>
    <n v="13"/>
    <x v="0"/>
    <n v="28875"/>
    <n v="25121.25"/>
  </r>
  <r>
    <s v="ORD429"/>
    <x v="226"/>
    <x v="1"/>
    <x v="4"/>
    <x v="1"/>
    <s v="Rahul"/>
    <n v="13484"/>
    <n v="8"/>
    <n v="29"/>
    <x v="2"/>
    <n v="107872"/>
    <n v="76589.119999999995"/>
  </r>
  <r>
    <s v="ORD430"/>
    <x v="11"/>
    <x v="1"/>
    <x v="1"/>
    <x v="1"/>
    <s v="Amit"/>
    <n v="47031"/>
    <n v="2"/>
    <n v="23"/>
    <x v="2"/>
    <n v="94062"/>
    <n v="72427.740000000005"/>
  </r>
  <r>
    <s v="ORD431"/>
    <x v="235"/>
    <x v="1"/>
    <x v="1"/>
    <x v="0"/>
    <s v="Ravi"/>
    <n v="15124"/>
    <n v="10"/>
    <n v="28"/>
    <x v="1"/>
    <n v="151240"/>
    <n v="108892.8"/>
  </r>
  <r>
    <s v="ORD432"/>
    <x v="98"/>
    <x v="2"/>
    <x v="4"/>
    <x v="1"/>
    <s v="Rahul"/>
    <n v="42447"/>
    <n v="9"/>
    <n v="21"/>
    <x v="0"/>
    <n v="382023"/>
    <n v="301798.17"/>
  </r>
  <r>
    <s v="ORD433"/>
    <x v="236"/>
    <x v="3"/>
    <x v="3"/>
    <x v="0"/>
    <s v="Priya"/>
    <n v="45228"/>
    <n v="10"/>
    <n v="23"/>
    <x v="0"/>
    <n v="452280"/>
    <n v="348255.6"/>
  </r>
  <r>
    <s v="ORD434"/>
    <x v="234"/>
    <x v="2"/>
    <x v="1"/>
    <x v="1"/>
    <s v="Amit"/>
    <n v="5004"/>
    <n v="10"/>
    <n v="1"/>
    <x v="1"/>
    <n v="50040"/>
    <n v="49539.6"/>
  </r>
  <r>
    <s v="ORD435"/>
    <x v="211"/>
    <x v="0"/>
    <x v="3"/>
    <x v="1"/>
    <s v="Kiran"/>
    <n v="43500"/>
    <n v="9"/>
    <n v="21"/>
    <x v="1"/>
    <n v="391500"/>
    <n v="309285"/>
  </r>
  <r>
    <s v="ORD436"/>
    <x v="20"/>
    <x v="2"/>
    <x v="0"/>
    <x v="1"/>
    <s v="Amit"/>
    <n v="9512"/>
    <n v="9"/>
    <n v="13"/>
    <x v="2"/>
    <n v="85608"/>
    <n v="74478.959999999992"/>
  </r>
  <r>
    <s v="ORD437"/>
    <x v="99"/>
    <x v="1"/>
    <x v="3"/>
    <x v="1"/>
    <s v="Amit"/>
    <n v="31320"/>
    <n v="2"/>
    <n v="15"/>
    <x v="2"/>
    <n v="62640"/>
    <n v="53244"/>
  </r>
  <r>
    <s v="ORD438"/>
    <x v="65"/>
    <x v="3"/>
    <x v="0"/>
    <x v="0"/>
    <s v="Priya"/>
    <n v="42081"/>
    <n v="4"/>
    <n v="26"/>
    <x v="1"/>
    <n v="168324"/>
    <n v="124559.76000000001"/>
  </r>
  <r>
    <s v="ORD441"/>
    <x v="237"/>
    <x v="0"/>
    <x v="1"/>
    <x v="0"/>
    <s v="Anjali"/>
    <n v="40149"/>
    <n v="3"/>
    <n v="14"/>
    <x v="2"/>
    <n v="120447"/>
    <n v="103584.42"/>
  </r>
  <r>
    <s v="ORD442"/>
    <x v="238"/>
    <x v="1"/>
    <x v="1"/>
    <x v="0"/>
    <s v="Priya"/>
    <n v="8445"/>
    <n v="3"/>
    <n v="12"/>
    <x v="0"/>
    <n v="25335"/>
    <n v="22294.799999999999"/>
  </r>
  <r>
    <s v="ORD443"/>
    <x v="65"/>
    <x v="1"/>
    <x v="3"/>
    <x v="1"/>
    <s v="Amit"/>
    <n v="49616"/>
    <n v="2"/>
    <n v="5"/>
    <x v="0"/>
    <n v="99232"/>
    <n v="94270.399999999994"/>
  </r>
  <r>
    <s v="ORD444"/>
    <x v="3"/>
    <x v="3"/>
    <x v="0"/>
    <x v="1"/>
    <s v="Anjali"/>
    <n v="5303"/>
    <n v="9"/>
    <n v="21"/>
    <x v="1"/>
    <n v="47727"/>
    <n v="37704.33"/>
  </r>
  <r>
    <s v="ORD446"/>
    <x v="16"/>
    <x v="1"/>
    <x v="1"/>
    <x v="0"/>
    <s v="Amit"/>
    <n v="37710"/>
    <n v="6"/>
    <n v="15"/>
    <x v="1"/>
    <n v="226260"/>
    <n v="192321"/>
  </r>
  <r>
    <s v="ORD447"/>
    <x v="239"/>
    <x v="2"/>
    <x v="4"/>
    <x v="0"/>
    <s v="Ravi"/>
    <n v="33491"/>
    <n v="3"/>
    <n v="18"/>
    <x v="2"/>
    <n v="100473"/>
    <n v="82387.86"/>
  </r>
  <r>
    <s v="ORD448"/>
    <x v="240"/>
    <x v="3"/>
    <x v="4"/>
    <x v="0"/>
    <s v="Priya"/>
    <n v="3202"/>
    <n v="6"/>
    <n v="0"/>
    <x v="0"/>
    <n v="19212"/>
    <n v="19212"/>
  </r>
  <r>
    <s v="ORD449"/>
    <x v="241"/>
    <x v="0"/>
    <x v="3"/>
    <x v="0"/>
    <s v="Amit"/>
    <n v="37333"/>
    <n v="6"/>
    <n v="8"/>
    <x v="0"/>
    <n v="223998"/>
    <n v="206078.16"/>
  </r>
  <r>
    <s v="ORD450"/>
    <x v="242"/>
    <x v="1"/>
    <x v="1"/>
    <x v="0"/>
    <s v="Kiran"/>
    <n v="18784"/>
    <n v="10"/>
    <n v="18"/>
    <x v="2"/>
    <n v="187840"/>
    <n v="154028.79999999999"/>
  </r>
  <r>
    <s v="ORD453"/>
    <x v="92"/>
    <x v="0"/>
    <x v="2"/>
    <x v="1"/>
    <s v="Amit"/>
    <n v="35504"/>
    <n v="2"/>
    <n v="26"/>
    <x v="0"/>
    <n v="71008"/>
    <n v="52545.919999999998"/>
  </r>
  <r>
    <s v="ORD454"/>
    <x v="243"/>
    <x v="0"/>
    <x v="4"/>
    <x v="1"/>
    <s v="Ravi"/>
    <n v="2293"/>
    <n v="2"/>
    <n v="29"/>
    <x v="2"/>
    <n v="4586"/>
    <n v="3256.06"/>
  </r>
  <r>
    <s v="ORD455"/>
    <x v="244"/>
    <x v="0"/>
    <x v="3"/>
    <x v="0"/>
    <s v="Priya"/>
    <n v="22002"/>
    <n v="2"/>
    <n v="5"/>
    <x v="0"/>
    <n v="44004"/>
    <n v="41803.800000000003"/>
  </r>
  <r>
    <s v="ORD456"/>
    <x v="131"/>
    <x v="0"/>
    <x v="1"/>
    <x v="0"/>
    <s v="Rahul"/>
    <n v="24760"/>
    <n v="2"/>
    <n v="6"/>
    <x v="2"/>
    <n v="49520"/>
    <n v="46548.800000000003"/>
  </r>
  <r>
    <s v="ORD457"/>
    <x v="129"/>
    <x v="3"/>
    <x v="0"/>
    <x v="1"/>
    <s v="Ravi"/>
    <n v="14237"/>
    <n v="6"/>
    <n v="18"/>
    <x v="0"/>
    <n v="85422"/>
    <n v="70046.040000000008"/>
  </r>
  <r>
    <s v="ORD458"/>
    <x v="245"/>
    <x v="3"/>
    <x v="4"/>
    <x v="1"/>
    <s v="Amit"/>
    <n v="41435"/>
    <n v="10"/>
    <n v="9"/>
    <x v="1"/>
    <n v="414350"/>
    <n v="377058.5"/>
  </r>
  <r>
    <s v="ORD459"/>
    <x v="246"/>
    <x v="1"/>
    <x v="2"/>
    <x v="1"/>
    <s v="Ravi"/>
    <n v="9885"/>
    <n v="4"/>
    <n v="23"/>
    <x v="0"/>
    <n v="39540"/>
    <n v="30445.8"/>
  </r>
  <r>
    <s v="ORD461"/>
    <x v="247"/>
    <x v="3"/>
    <x v="0"/>
    <x v="0"/>
    <s v="Priya"/>
    <n v="27824"/>
    <n v="5"/>
    <n v="24"/>
    <x v="2"/>
    <n v="139120"/>
    <n v="105731.2"/>
  </r>
  <r>
    <s v="ORD462"/>
    <x v="248"/>
    <x v="2"/>
    <x v="0"/>
    <x v="0"/>
    <s v="Anjali"/>
    <n v="36926"/>
    <n v="7"/>
    <n v="8"/>
    <x v="1"/>
    <n v="258482"/>
    <n v="237803.44"/>
  </r>
  <r>
    <s v="ORD463"/>
    <x v="35"/>
    <x v="0"/>
    <x v="3"/>
    <x v="0"/>
    <s v="Priya"/>
    <n v="37712"/>
    <n v="5"/>
    <n v="14"/>
    <x v="1"/>
    <n v="188560"/>
    <n v="162161.60000000001"/>
  </r>
  <r>
    <s v="ORD464"/>
    <x v="249"/>
    <x v="1"/>
    <x v="3"/>
    <x v="0"/>
    <s v="Anjali"/>
    <n v="14111"/>
    <n v="5"/>
    <n v="27"/>
    <x v="0"/>
    <n v="70555"/>
    <n v="51505.15"/>
  </r>
  <r>
    <s v="ORD465"/>
    <x v="118"/>
    <x v="0"/>
    <x v="3"/>
    <x v="1"/>
    <s v="Kiran"/>
    <n v="38743"/>
    <n v="8"/>
    <n v="25"/>
    <x v="2"/>
    <n v="309944"/>
    <n v="232458"/>
  </r>
  <r>
    <s v="ORD467"/>
    <x v="167"/>
    <x v="3"/>
    <x v="2"/>
    <x v="1"/>
    <s v="Amit"/>
    <n v="28443"/>
    <n v="2"/>
    <n v="24"/>
    <x v="1"/>
    <n v="56886"/>
    <n v="43233.36"/>
  </r>
  <r>
    <s v="ORD468"/>
    <x v="250"/>
    <x v="0"/>
    <x v="0"/>
    <x v="0"/>
    <s v="Anjali"/>
    <n v="45436"/>
    <n v="6"/>
    <n v="18"/>
    <x v="2"/>
    <n v="272616"/>
    <n v="223545.12"/>
  </r>
  <r>
    <s v="ORD469"/>
    <x v="179"/>
    <x v="1"/>
    <x v="0"/>
    <x v="0"/>
    <s v="Priya"/>
    <n v="44315"/>
    <n v="4"/>
    <n v="18"/>
    <x v="0"/>
    <n v="177260"/>
    <n v="145353.20000000001"/>
  </r>
  <r>
    <s v="ORD470"/>
    <x v="175"/>
    <x v="3"/>
    <x v="0"/>
    <x v="1"/>
    <s v="Anjali"/>
    <n v="12425"/>
    <n v="8"/>
    <n v="16"/>
    <x v="2"/>
    <n v="99400"/>
    <n v="83496"/>
  </r>
  <r>
    <s v="ORD471"/>
    <x v="95"/>
    <x v="0"/>
    <x v="3"/>
    <x v="1"/>
    <s v="Ravi"/>
    <n v="33111"/>
    <n v="6"/>
    <n v="9"/>
    <x v="2"/>
    <n v="198666"/>
    <n v="180786.06"/>
  </r>
  <r>
    <s v="ORD472"/>
    <x v="211"/>
    <x v="2"/>
    <x v="2"/>
    <x v="0"/>
    <s v="Priya"/>
    <n v="24427"/>
    <n v="5"/>
    <n v="12"/>
    <x v="0"/>
    <n v="122135"/>
    <n v="107478.8"/>
  </r>
  <r>
    <s v="ORD473"/>
    <x v="251"/>
    <x v="1"/>
    <x v="1"/>
    <x v="1"/>
    <s v="Rahul"/>
    <n v="15794"/>
    <n v="8"/>
    <n v="2"/>
    <x v="2"/>
    <n v="126352"/>
    <n v="123824.96000000001"/>
  </r>
  <r>
    <s v="ORD474"/>
    <x v="141"/>
    <x v="2"/>
    <x v="4"/>
    <x v="0"/>
    <s v="Kiran"/>
    <n v="37182"/>
    <n v="7"/>
    <n v="24"/>
    <x v="1"/>
    <n v="260274"/>
    <n v="197808.24"/>
  </r>
  <r>
    <s v="ORD475"/>
    <x v="9"/>
    <x v="2"/>
    <x v="2"/>
    <x v="0"/>
    <s v="Rahul"/>
    <n v="20311"/>
    <n v="8"/>
    <n v="2"/>
    <x v="2"/>
    <n v="162488"/>
    <n v="159238.24"/>
  </r>
  <r>
    <s v="ORD479"/>
    <x v="252"/>
    <x v="2"/>
    <x v="4"/>
    <x v="1"/>
    <s v="Rahul"/>
    <n v="45026"/>
    <n v="8"/>
    <n v="22"/>
    <x v="2"/>
    <n v="360208"/>
    <n v="280962.24"/>
  </r>
  <r>
    <s v="ORD480"/>
    <x v="128"/>
    <x v="3"/>
    <x v="4"/>
    <x v="1"/>
    <s v="Ravi"/>
    <n v="41140"/>
    <n v="2"/>
    <n v="1"/>
    <x v="0"/>
    <n v="82280"/>
    <n v="81457.2"/>
  </r>
  <r>
    <s v="ORD481"/>
    <x v="253"/>
    <x v="3"/>
    <x v="2"/>
    <x v="1"/>
    <s v="Rahul"/>
    <n v="30059"/>
    <n v="5"/>
    <n v="8"/>
    <x v="2"/>
    <n v="150295"/>
    <n v="138271.4"/>
  </r>
  <r>
    <s v="ORD482"/>
    <x v="244"/>
    <x v="3"/>
    <x v="3"/>
    <x v="0"/>
    <s v="Ravi"/>
    <n v="45895"/>
    <n v="10"/>
    <n v="21"/>
    <x v="2"/>
    <n v="458950"/>
    <n v="362570.5"/>
  </r>
  <r>
    <s v="ORD483"/>
    <x v="241"/>
    <x v="1"/>
    <x v="1"/>
    <x v="0"/>
    <s v="Kiran"/>
    <n v="49623"/>
    <n v="3"/>
    <n v="25"/>
    <x v="0"/>
    <n v="148869"/>
    <n v="111651.75"/>
  </r>
  <r>
    <s v="ORD485"/>
    <x v="11"/>
    <x v="1"/>
    <x v="1"/>
    <x v="0"/>
    <s v="Anjali"/>
    <n v="40266"/>
    <n v="6"/>
    <n v="1"/>
    <x v="1"/>
    <n v="241596"/>
    <n v="239180.04"/>
  </r>
  <r>
    <s v="ORD486"/>
    <x v="122"/>
    <x v="3"/>
    <x v="2"/>
    <x v="0"/>
    <s v="Priya"/>
    <n v="32514"/>
    <n v="2"/>
    <n v="16"/>
    <x v="1"/>
    <n v="65028"/>
    <n v="54623.520000000004"/>
  </r>
  <r>
    <s v="ORD487"/>
    <x v="103"/>
    <x v="3"/>
    <x v="0"/>
    <x v="1"/>
    <s v="Ravi"/>
    <n v="6024"/>
    <n v="6"/>
    <n v="30"/>
    <x v="1"/>
    <n v="36144"/>
    <n v="25300.799999999999"/>
  </r>
  <r>
    <s v="ORD488"/>
    <x v="103"/>
    <x v="0"/>
    <x v="4"/>
    <x v="0"/>
    <s v="Rahul"/>
    <n v="15555"/>
    <n v="10"/>
    <n v="12"/>
    <x v="2"/>
    <n v="155550"/>
    <n v="136884"/>
  </r>
  <r>
    <s v="ORD489"/>
    <x v="254"/>
    <x v="3"/>
    <x v="4"/>
    <x v="1"/>
    <s v="Anjali"/>
    <n v="19399"/>
    <n v="1"/>
    <n v="22"/>
    <x v="0"/>
    <n v="19399"/>
    <n v="15131.220000000001"/>
  </r>
  <r>
    <s v="ORD490"/>
    <x v="20"/>
    <x v="0"/>
    <x v="2"/>
    <x v="0"/>
    <s v="Amit"/>
    <n v="42383"/>
    <n v="7"/>
    <n v="16"/>
    <x v="0"/>
    <n v="296681"/>
    <n v="249212.04"/>
  </r>
  <r>
    <s v="ORD491"/>
    <x v="36"/>
    <x v="0"/>
    <x v="3"/>
    <x v="1"/>
    <s v="Anjali"/>
    <n v="12108"/>
    <n v="2"/>
    <n v="21"/>
    <x v="1"/>
    <n v="24216"/>
    <n v="19130.64"/>
  </r>
  <r>
    <s v="ORD493"/>
    <x v="255"/>
    <x v="1"/>
    <x v="4"/>
    <x v="1"/>
    <s v="Kiran"/>
    <n v="40152"/>
    <n v="10"/>
    <n v="22"/>
    <x v="2"/>
    <n v="401520"/>
    <n v="313185.59999999998"/>
  </r>
  <r>
    <s v="ORD495"/>
    <x v="137"/>
    <x v="2"/>
    <x v="4"/>
    <x v="0"/>
    <s v="Ravi"/>
    <n v="17474"/>
    <n v="1"/>
    <n v="6"/>
    <x v="1"/>
    <n v="17474"/>
    <n v="16425.560000000001"/>
  </r>
  <r>
    <s v="ORD497"/>
    <x v="256"/>
    <x v="0"/>
    <x v="3"/>
    <x v="1"/>
    <s v="Rahul"/>
    <n v="4386"/>
    <n v="9"/>
    <n v="26"/>
    <x v="1"/>
    <n v="39474"/>
    <n v="29210.760000000002"/>
  </r>
  <r>
    <s v="ORD498"/>
    <x v="191"/>
    <x v="1"/>
    <x v="2"/>
    <x v="0"/>
    <s v="Rahul"/>
    <n v="10977"/>
    <n v="9"/>
    <n v="23"/>
    <x v="0"/>
    <n v="98793"/>
    <n v="76070.61"/>
  </r>
  <r>
    <s v="ORD499"/>
    <x v="257"/>
    <x v="2"/>
    <x v="0"/>
    <x v="0"/>
    <s v="Ravi"/>
    <n v="20560"/>
    <n v="3"/>
    <n v="17"/>
    <x v="1"/>
    <n v="61680"/>
    <n v="51194.400000000001"/>
  </r>
  <r>
    <s v="ORD502"/>
    <x v="258"/>
    <x v="3"/>
    <x v="1"/>
    <x v="0"/>
    <s v="Sneha"/>
    <n v="36417"/>
    <n v="5"/>
    <n v="14"/>
    <x v="2"/>
    <n v="182085"/>
    <n v="156593.1"/>
  </r>
  <r>
    <s v="ORD505"/>
    <x v="44"/>
    <x v="1"/>
    <x v="2"/>
    <x v="0"/>
    <s v="Ravi"/>
    <n v="47134"/>
    <n v="2"/>
    <n v="14"/>
    <x v="0"/>
    <n v="94268"/>
    <n v="81070.48"/>
  </r>
  <r>
    <s v="ORD506"/>
    <x v="259"/>
    <x v="2"/>
    <x v="0"/>
    <x v="1"/>
    <s v="Anjali"/>
    <n v="31430"/>
    <n v="1"/>
    <n v="0"/>
    <x v="0"/>
    <n v="31430"/>
    <n v="31430"/>
  </r>
  <r>
    <s v="ORD507"/>
    <x v="77"/>
    <x v="2"/>
    <x v="4"/>
    <x v="1"/>
    <s v="Amit"/>
    <n v="33771"/>
    <n v="5"/>
    <n v="30"/>
    <x v="2"/>
    <n v="168855"/>
    <n v="118198.5"/>
  </r>
  <r>
    <s v="ORD508"/>
    <x v="49"/>
    <x v="3"/>
    <x v="1"/>
    <x v="0"/>
    <s v="Ravi"/>
    <n v="38705"/>
    <n v="5"/>
    <n v="28"/>
    <x v="0"/>
    <n v="193525"/>
    <n v="139338"/>
  </r>
  <r>
    <s v="ORD509"/>
    <x v="77"/>
    <x v="0"/>
    <x v="2"/>
    <x v="0"/>
    <s v="Kiran"/>
    <n v="7436"/>
    <n v="5"/>
    <n v="21"/>
    <x v="1"/>
    <n v="37180"/>
    <n v="29372.2"/>
  </r>
  <r>
    <s v="ORD510"/>
    <x v="240"/>
    <x v="1"/>
    <x v="4"/>
    <x v="0"/>
    <s v="Rahul"/>
    <n v="11845"/>
    <n v="4"/>
    <n v="30"/>
    <x v="0"/>
    <n v="47380"/>
    <n v="33166"/>
  </r>
  <r>
    <s v="ORD511"/>
    <x v="164"/>
    <x v="0"/>
    <x v="4"/>
    <x v="1"/>
    <s v="Amit"/>
    <n v="41159"/>
    <n v="3"/>
    <n v="10"/>
    <x v="0"/>
    <n v="123477"/>
    <n v="111129.3"/>
  </r>
  <r>
    <s v="ORD513"/>
    <x v="42"/>
    <x v="3"/>
    <x v="0"/>
    <x v="1"/>
    <s v="Rahul"/>
    <n v="44365"/>
    <n v="8"/>
    <n v="1"/>
    <x v="1"/>
    <n v="354920"/>
    <n v="351370.8"/>
  </r>
  <r>
    <s v="ORD514"/>
    <x v="233"/>
    <x v="1"/>
    <x v="0"/>
    <x v="1"/>
    <s v="Rahul"/>
    <n v="19825"/>
    <n v="10"/>
    <n v="1"/>
    <x v="1"/>
    <n v="198250"/>
    <n v="196267.5"/>
  </r>
  <r>
    <s v="ORD515"/>
    <x v="241"/>
    <x v="0"/>
    <x v="0"/>
    <x v="1"/>
    <s v="Sneha"/>
    <n v="37551"/>
    <n v="2"/>
    <n v="13"/>
    <x v="0"/>
    <n v="75102"/>
    <n v="65338.74"/>
  </r>
  <r>
    <s v="ORD516"/>
    <x v="260"/>
    <x v="0"/>
    <x v="1"/>
    <x v="0"/>
    <s v="Ravi"/>
    <n v="31993"/>
    <n v="5"/>
    <n v="8"/>
    <x v="0"/>
    <n v="159965"/>
    <n v="147167.79999999999"/>
  </r>
  <r>
    <s v="ORD517"/>
    <x v="261"/>
    <x v="1"/>
    <x v="3"/>
    <x v="0"/>
    <s v="Rahul"/>
    <n v="30992"/>
    <n v="2"/>
    <n v="22"/>
    <x v="2"/>
    <n v="61984"/>
    <n v="48347.520000000004"/>
  </r>
  <r>
    <s v="ORD518"/>
    <x v="133"/>
    <x v="0"/>
    <x v="3"/>
    <x v="0"/>
    <s v="Ravi"/>
    <n v="7428"/>
    <n v="10"/>
    <n v="1"/>
    <x v="2"/>
    <n v="74280"/>
    <n v="73537.2"/>
  </r>
  <r>
    <s v="ORD519"/>
    <x v="232"/>
    <x v="0"/>
    <x v="1"/>
    <x v="1"/>
    <s v="Anjali"/>
    <n v="25432"/>
    <n v="3"/>
    <n v="16"/>
    <x v="2"/>
    <n v="76296"/>
    <n v="64088.639999999999"/>
  </r>
  <r>
    <s v="ORD521"/>
    <x v="247"/>
    <x v="2"/>
    <x v="1"/>
    <x v="0"/>
    <s v="Priya"/>
    <n v="28526"/>
    <n v="10"/>
    <n v="1"/>
    <x v="2"/>
    <n v="285260"/>
    <n v="282407.40000000002"/>
  </r>
  <r>
    <s v="ORD522"/>
    <x v="3"/>
    <x v="0"/>
    <x v="2"/>
    <x v="1"/>
    <s v="Amit"/>
    <n v="24024"/>
    <n v="2"/>
    <n v="26"/>
    <x v="2"/>
    <n v="48048"/>
    <n v="35555.520000000004"/>
  </r>
  <r>
    <s v="ORD523"/>
    <x v="255"/>
    <x v="3"/>
    <x v="4"/>
    <x v="0"/>
    <s v="Amit"/>
    <n v="25141"/>
    <n v="6"/>
    <n v="24"/>
    <x v="1"/>
    <n v="150846"/>
    <n v="114642.95999999999"/>
  </r>
  <r>
    <s v="ORD524"/>
    <x v="201"/>
    <x v="1"/>
    <x v="1"/>
    <x v="0"/>
    <s v="Rahul"/>
    <n v="33835"/>
    <n v="5"/>
    <n v="10"/>
    <x v="2"/>
    <n v="169175"/>
    <n v="152257.5"/>
  </r>
  <r>
    <s v="ORD526"/>
    <x v="262"/>
    <x v="2"/>
    <x v="3"/>
    <x v="1"/>
    <s v="Priya"/>
    <n v="45675"/>
    <n v="9"/>
    <n v="29"/>
    <x v="0"/>
    <n v="411075"/>
    <n v="291863.25"/>
  </r>
  <r>
    <s v="ORD528"/>
    <x v="24"/>
    <x v="0"/>
    <x v="1"/>
    <x v="1"/>
    <s v="Anjali"/>
    <n v="44711"/>
    <n v="3"/>
    <n v="21"/>
    <x v="1"/>
    <n v="134133"/>
    <n v="105965.07"/>
  </r>
  <r>
    <s v="ORD529"/>
    <x v="263"/>
    <x v="2"/>
    <x v="3"/>
    <x v="1"/>
    <s v="Kiran"/>
    <n v="13195"/>
    <n v="7"/>
    <n v="16"/>
    <x v="0"/>
    <n v="92365"/>
    <n v="77586.600000000006"/>
  </r>
  <r>
    <s v="ORD531"/>
    <x v="127"/>
    <x v="0"/>
    <x v="3"/>
    <x v="1"/>
    <s v="Rahul"/>
    <n v="10493"/>
    <n v="6"/>
    <n v="13"/>
    <x v="0"/>
    <n v="62958"/>
    <n v="54773.46"/>
  </r>
  <r>
    <s v="ORD532"/>
    <x v="264"/>
    <x v="0"/>
    <x v="0"/>
    <x v="0"/>
    <s v="Kiran"/>
    <n v="41937"/>
    <n v="3"/>
    <n v="10"/>
    <x v="2"/>
    <n v="125811"/>
    <n v="113229.9"/>
  </r>
  <r>
    <s v="ORD534"/>
    <x v="265"/>
    <x v="1"/>
    <x v="3"/>
    <x v="0"/>
    <s v="Anjali"/>
    <n v="31596"/>
    <n v="7"/>
    <n v="9"/>
    <x v="2"/>
    <n v="221172"/>
    <n v="201266.52"/>
  </r>
  <r>
    <s v="ORD535"/>
    <x v="231"/>
    <x v="2"/>
    <x v="1"/>
    <x v="1"/>
    <s v="Amit"/>
    <n v="17984"/>
    <n v="9"/>
    <n v="0"/>
    <x v="1"/>
    <n v="161856"/>
    <n v="161856"/>
  </r>
  <r>
    <s v="ORD536"/>
    <x v="110"/>
    <x v="1"/>
    <x v="3"/>
    <x v="1"/>
    <s v="Anjali"/>
    <n v="9248"/>
    <n v="2"/>
    <n v="25"/>
    <x v="2"/>
    <n v="18496"/>
    <n v="13872"/>
  </r>
  <r>
    <s v="ORD537"/>
    <x v="78"/>
    <x v="1"/>
    <x v="1"/>
    <x v="0"/>
    <s v="Amit"/>
    <n v="42586"/>
    <n v="1"/>
    <n v="13"/>
    <x v="1"/>
    <n v="42586"/>
    <n v="37049.82"/>
  </r>
  <r>
    <s v="ORD538"/>
    <x v="119"/>
    <x v="1"/>
    <x v="0"/>
    <x v="0"/>
    <s v="Sneha"/>
    <n v="49866"/>
    <n v="5"/>
    <n v="5"/>
    <x v="2"/>
    <n v="249330"/>
    <n v="236863.5"/>
  </r>
  <r>
    <s v="ORD539"/>
    <x v="266"/>
    <x v="3"/>
    <x v="4"/>
    <x v="0"/>
    <s v="Amit"/>
    <n v="42531"/>
    <n v="3"/>
    <n v="21"/>
    <x v="2"/>
    <n v="127593"/>
    <n v="100798.47"/>
  </r>
  <r>
    <s v="ORD540"/>
    <x v="243"/>
    <x v="1"/>
    <x v="1"/>
    <x v="1"/>
    <s v="Ravi"/>
    <n v="42587"/>
    <n v="7"/>
    <n v="15"/>
    <x v="2"/>
    <n v="298109"/>
    <n v="253392.65"/>
  </r>
  <r>
    <s v="ORD541"/>
    <x v="154"/>
    <x v="1"/>
    <x v="3"/>
    <x v="1"/>
    <s v="Priya"/>
    <n v="43959"/>
    <n v="9"/>
    <n v="1"/>
    <x v="1"/>
    <n v="395631"/>
    <n v="391674.69"/>
  </r>
  <r>
    <s v="ORD542"/>
    <x v="266"/>
    <x v="2"/>
    <x v="2"/>
    <x v="0"/>
    <s v="Priya"/>
    <n v="49261"/>
    <n v="6"/>
    <n v="4"/>
    <x v="1"/>
    <n v="295566"/>
    <n v="283743.35999999999"/>
  </r>
  <r>
    <s v="ORD543"/>
    <x v="267"/>
    <x v="3"/>
    <x v="3"/>
    <x v="1"/>
    <s v="Kiran"/>
    <n v="14537"/>
    <n v="1"/>
    <n v="29"/>
    <x v="1"/>
    <n v="14537"/>
    <n v="10321.27"/>
  </r>
  <r>
    <s v="ORD545"/>
    <x v="208"/>
    <x v="0"/>
    <x v="4"/>
    <x v="1"/>
    <s v="Anjali"/>
    <n v="4300"/>
    <n v="9"/>
    <n v="25"/>
    <x v="0"/>
    <n v="38700"/>
    <n v="29025"/>
  </r>
  <r>
    <s v="ORD546"/>
    <x v="21"/>
    <x v="1"/>
    <x v="2"/>
    <x v="0"/>
    <s v="Rahul"/>
    <n v="41941"/>
    <n v="9"/>
    <n v="23"/>
    <x v="1"/>
    <n v="377469"/>
    <n v="290651.13"/>
  </r>
  <r>
    <s v="ORD547"/>
    <x v="258"/>
    <x v="2"/>
    <x v="3"/>
    <x v="1"/>
    <s v="Sneha"/>
    <n v="2732"/>
    <n v="6"/>
    <n v="8"/>
    <x v="2"/>
    <n v="16392"/>
    <n v="15080.64"/>
  </r>
  <r>
    <s v="ORD548"/>
    <x v="226"/>
    <x v="3"/>
    <x v="0"/>
    <x v="1"/>
    <s v="Sneha"/>
    <n v="29664"/>
    <n v="2"/>
    <n v="14"/>
    <x v="1"/>
    <n v="59328"/>
    <n v="51022.080000000002"/>
  </r>
  <r>
    <s v="ORD549"/>
    <x v="37"/>
    <x v="2"/>
    <x v="4"/>
    <x v="0"/>
    <s v="Sneha"/>
    <n v="12616"/>
    <n v="7"/>
    <n v="19"/>
    <x v="0"/>
    <n v="88312"/>
    <n v="71532.72"/>
  </r>
  <r>
    <s v="ORD550"/>
    <x v="268"/>
    <x v="1"/>
    <x v="2"/>
    <x v="1"/>
    <s v="Rahul"/>
    <n v="13522"/>
    <n v="2"/>
    <n v="4"/>
    <x v="2"/>
    <n v="27044"/>
    <n v="25962.240000000002"/>
  </r>
  <r>
    <s v="ORD551"/>
    <x v="185"/>
    <x v="1"/>
    <x v="4"/>
    <x v="1"/>
    <s v="Ravi"/>
    <n v="12187"/>
    <n v="8"/>
    <n v="12"/>
    <x v="0"/>
    <n v="97496"/>
    <n v="85796.479999999996"/>
  </r>
  <r>
    <s v="ORD552"/>
    <x v="206"/>
    <x v="2"/>
    <x v="3"/>
    <x v="1"/>
    <s v="Amit"/>
    <n v="42639"/>
    <n v="8"/>
    <n v="10"/>
    <x v="0"/>
    <n v="341112"/>
    <n v="307000.8"/>
  </r>
  <r>
    <s v="ORD554"/>
    <x v="41"/>
    <x v="2"/>
    <x v="4"/>
    <x v="0"/>
    <s v="Kiran"/>
    <n v="10524"/>
    <n v="9"/>
    <n v="18"/>
    <x v="0"/>
    <n v="94716"/>
    <n v="77667.12"/>
  </r>
  <r>
    <s v="ORD556"/>
    <x v="1"/>
    <x v="0"/>
    <x v="3"/>
    <x v="1"/>
    <s v="Amit"/>
    <n v="18868"/>
    <n v="6"/>
    <n v="23"/>
    <x v="0"/>
    <n v="113208"/>
    <n v="87170.16"/>
  </r>
  <r>
    <s v="ORD558"/>
    <x v="269"/>
    <x v="1"/>
    <x v="4"/>
    <x v="0"/>
    <s v="Sneha"/>
    <n v="33066"/>
    <n v="5"/>
    <n v="3"/>
    <x v="0"/>
    <n v="165330"/>
    <n v="160370.1"/>
  </r>
  <r>
    <s v="ORD559"/>
    <x v="259"/>
    <x v="3"/>
    <x v="0"/>
    <x v="0"/>
    <s v="Anjali"/>
    <n v="31375"/>
    <n v="8"/>
    <n v="15"/>
    <x v="0"/>
    <n v="251000"/>
    <n v="213350"/>
  </r>
  <r>
    <s v="ORD562"/>
    <x v="25"/>
    <x v="0"/>
    <x v="1"/>
    <x v="1"/>
    <s v="Amit"/>
    <n v="41774"/>
    <n v="2"/>
    <n v="6"/>
    <x v="0"/>
    <n v="83548"/>
    <n v="78535.12"/>
  </r>
  <r>
    <s v="ORD563"/>
    <x v="127"/>
    <x v="1"/>
    <x v="1"/>
    <x v="1"/>
    <s v="Rahul"/>
    <n v="2322"/>
    <n v="2"/>
    <n v="20"/>
    <x v="2"/>
    <n v="4644"/>
    <n v="3715.2"/>
  </r>
  <r>
    <s v="ORD564"/>
    <x v="151"/>
    <x v="2"/>
    <x v="2"/>
    <x v="0"/>
    <s v="Ravi"/>
    <n v="29101"/>
    <n v="7"/>
    <n v="24"/>
    <x v="2"/>
    <n v="203707"/>
    <n v="154817.32"/>
  </r>
  <r>
    <s v="ORD565"/>
    <x v="253"/>
    <x v="3"/>
    <x v="2"/>
    <x v="1"/>
    <s v="Priya"/>
    <n v="26440"/>
    <n v="2"/>
    <n v="10"/>
    <x v="0"/>
    <n v="52880"/>
    <n v="47592"/>
  </r>
  <r>
    <s v="ORD566"/>
    <x v="121"/>
    <x v="2"/>
    <x v="1"/>
    <x v="0"/>
    <s v="Kiran"/>
    <n v="40388"/>
    <n v="7"/>
    <n v="15"/>
    <x v="1"/>
    <n v="282716"/>
    <n v="240308.6"/>
  </r>
  <r>
    <s v="ORD567"/>
    <x v="68"/>
    <x v="2"/>
    <x v="0"/>
    <x v="0"/>
    <s v="Rahul"/>
    <n v="3748"/>
    <n v="5"/>
    <n v="21"/>
    <x v="2"/>
    <n v="18740"/>
    <n v="14804.6"/>
  </r>
  <r>
    <s v="ORD568"/>
    <x v="4"/>
    <x v="2"/>
    <x v="0"/>
    <x v="0"/>
    <s v="Kiran"/>
    <n v="1352"/>
    <n v="7"/>
    <n v="11"/>
    <x v="1"/>
    <n v="9464"/>
    <n v="8422.9599999999991"/>
  </r>
  <r>
    <s v="ORD569"/>
    <x v="202"/>
    <x v="1"/>
    <x v="1"/>
    <x v="0"/>
    <s v="Anjali"/>
    <n v="13969"/>
    <n v="4"/>
    <n v="1"/>
    <x v="0"/>
    <n v="55876"/>
    <n v="55317.24"/>
  </r>
  <r>
    <s v="ORD570"/>
    <x v="270"/>
    <x v="3"/>
    <x v="0"/>
    <x v="0"/>
    <s v="Kiran"/>
    <n v="30094"/>
    <n v="10"/>
    <n v="25"/>
    <x v="0"/>
    <n v="300940"/>
    <n v="225705"/>
  </r>
  <r>
    <s v="ORD571"/>
    <x v="8"/>
    <x v="0"/>
    <x v="2"/>
    <x v="1"/>
    <s v="Ravi"/>
    <n v="14887"/>
    <n v="10"/>
    <n v="0"/>
    <x v="0"/>
    <n v="148870"/>
    <n v="148870"/>
  </r>
  <r>
    <s v="ORD572"/>
    <x v="254"/>
    <x v="0"/>
    <x v="2"/>
    <x v="1"/>
    <s v="Amit"/>
    <n v="45902"/>
    <n v="9"/>
    <n v="7"/>
    <x v="0"/>
    <n v="413118"/>
    <n v="384199.74"/>
  </r>
  <r>
    <s v="ORD575"/>
    <x v="185"/>
    <x v="0"/>
    <x v="1"/>
    <x v="0"/>
    <s v="Amit"/>
    <n v="5377"/>
    <n v="3"/>
    <n v="8"/>
    <x v="0"/>
    <n v="16131"/>
    <n v="14840.52"/>
  </r>
  <r>
    <s v="ORD576"/>
    <x v="131"/>
    <x v="2"/>
    <x v="4"/>
    <x v="0"/>
    <s v="Rahul"/>
    <n v="20261"/>
    <n v="4"/>
    <n v="23"/>
    <x v="1"/>
    <n v="81044"/>
    <n v="62403.880000000005"/>
  </r>
  <r>
    <s v="ORD578"/>
    <x v="14"/>
    <x v="2"/>
    <x v="2"/>
    <x v="0"/>
    <s v="Rahul"/>
    <n v="2646"/>
    <n v="1"/>
    <n v="19"/>
    <x v="1"/>
    <n v="2646"/>
    <n v="2143.2600000000002"/>
  </r>
  <r>
    <s v="ORD579"/>
    <x v="100"/>
    <x v="3"/>
    <x v="1"/>
    <x v="1"/>
    <s v="Ravi"/>
    <n v="12542"/>
    <n v="3"/>
    <n v="23"/>
    <x v="2"/>
    <n v="37626"/>
    <n v="28972.02"/>
  </r>
  <r>
    <s v="ORD580"/>
    <x v="247"/>
    <x v="0"/>
    <x v="0"/>
    <x v="1"/>
    <s v="Kiran"/>
    <n v="14430"/>
    <n v="1"/>
    <n v="0"/>
    <x v="2"/>
    <n v="14430"/>
    <n v="14430"/>
  </r>
  <r>
    <s v="ORD581"/>
    <x v="92"/>
    <x v="2"/>
    <x v="2"/>
    <x v="0"/>
    <s v="Rahul"/>
    <n v="39072"/>
    <n v="2"/>
    <n v="25"/>
    <x v="1"/>
    <n v="78144"/>
    <n v="58608"/>
  </r>
  <r>
    <s v="ORD582"/>
    <x v="13"/>
    <x v="2"/>
    <x v="2"/>
    <x v="0"/>
    <s v="Ravi"/>
    <n v="42700"/>
    <n v="10"/>
    <n v="29"/>
    <x v="1"/>
    <n v="427000"/>
    <n v="303170"/>
  </r>
  <r>
    <s v="ORD583"/>
    <x v="271"/>
    <x v="3"/>
    <x v="2"/>
    <x v="1"/>
    <s v="Ravi"/>
    <n v="15657"/>
    <n v="4"/>
    <n v="19"/>
    <x v="0"/>
    <n v="62628"/>
    <n v="50728.68"/>
  </r>
  <r>
    <s v="ORD584"/>
    <x v="108"/>
    <x v="0"/>
    <x v="0"/>
    <x v="1"/>
    <s v="Amit"/>
    <n v="44075"/>
    <n v="10"/>
    <n v="3"/>
    <x v="0"/>
    <n v="440750"/>
    <n v="427527.5"/>
  </r>
  <r>
    <s v="ORD585"/>
    <x v="272"/>
    <x v="1"/>
    <x v="1"/>
    <x v="1"/>
    <s v="Ravi"/>
    <n v="13798"/>
    <n v="8"/>
    <n v="20"/>
    <x v="1"/>
    <n v="110384"/>
    <n v="88307.199999999997"/>
  </r>
  <r>
    <s v="ORD586"/>
    <x v="214"/>
    <x v="1"/>
    <x v="2"/>
    <x v="0"/>
    <s v="Ravi"/>
    <n v="175"/>
    <n v="4"/>
    <n v="27"/>
    <x v="0"/>
    <n v="700"/>
    <n v="511"/>
  </r>
  <r>
    <s v="ORD587"/>
    <x v="270"/>
    <x v="3"/>
    <x v="4"/>
    <x v="1"/>
    <s v="Amit"/>
    <n v="25108"/>
    <n v="9"/>
    <n v="7"/>
    <x v="0"/>
    <n v="225972"/>
    <n v="210153.96"/>
  </r>
  <r>
    <s v="ORD588"/>
    <x v="261"/>
    <x v="0"/>
    <x v="3"/>
    <x v="0"/>
    <s v="Ravi"/>
    <n v="44573"/>
    <n v="10"/>
    <n v="19"/>
    <x v="1"/>
    <n v="445730"/>
    <n v="361041.3"/>
  </r>
  <r>
    <s v="ORD589"/>
    <x v="129"/>
    <x v="3"/>
    <x v="0"/>
    <x v="0"/>
    <s v="Ravi"/>
    <n v="7079"/>
    <n v="4"/>
    <n v="2"/>
    <x v="0"/>
    <n v="28316"/>
    <n v="27749.68"/>
  </r>
  <r>
    <s v="ORD590"/>
    <x v="101"/>
    <x v="1"/>
    <x v="1"/>
    <x v="0"/>
    <s v="Ravi"/>
    <n v="41691"/>
    <n v="8"/>
    <n v="7"/>
    <x v="0"/>
    <n v="333528"/>
    <n v="310181.03999999998"/>
  </r>
  <r>
    <s v="ORD591"/>
    <x v="41"/>
    <x v="1"/>
    <x v="2"/>
    <x v="0"/>
    <s v="Rahul"/>
    <n v="21836"/>
    <n v="4"/>
    <n v="17"/>
    <x v="2"/>
    <n v="87344"/>
    <n v="72495.520000000004"/>
  </r>
  <r>
    <s v="ORD593"/>
    <x v="156"/>
    <x v="2"/>
    <x v="3"/>
    <x v="1"/>
    <s v="Kiran"/>
    <n v="7680"/>
    <n v="7"/>
    <n v="10"/>
    <x v="2"/>
    <n v="53760"/>
    <n v="48384"/>
  </r>
  <r>
    <s v="ORD595"/>
    <x v="273"/>
    <x v="3"/>
    <x v="1"/>
    <x v="1"/>
    <s v="Sneha"/>
    <n v="2297"/>
    <n v="3"/>
    <n v="15"/>
    <x v="0"/>
    <n v="6891"/>
    <n v="5857.35"/>
  </r>
  <r>
    <s v="ORD596"/>
    <x v="94"/>
    <x v="0"/>
    <x v="3"/>
    <x v="1"/>
    <s v="Amit"/>
    <n v="44114"/>
    <n v="4"/>
    <n v="28"/>
    <x v="0"/>
    <n v="176456"/>
    <n v="127048.32000000001"/>
  </r>
  <r>
    <s v="ORD597"/>
    <x v="205"/>
    <x v="2"/>
    <x v="4"/>
    <x v="1"/>
    <s v="Amit"/>
    <n v="28542"/>
    <n v="6"/>
    <n v="17"/>
    <x v="2"/>
    <n v="171252"/>
    <n v="142139.16"/>
  </r>
  <r>
    <s v="ORD600"/>
    <x v="197"/>
    <x v="1"/>
    <x v="0"/>
    <x v="0"/>
    <s v="Anjali"/>
    <n v="39621"/>
    <n v="7"/>
    <n v="9"/>
    <x v="0"/>
    <n v="277347"/>
    <n v="252385.77"/>
  </r>
  <r>
    <s v="ORD601"/>
    <x v="91"/>
    <x v="2"/>
    <x v="2"/>
    <x v="1"/>
    <s v="Kiran"/>
    <n v="6798"/>
    <n v="8"/>
    <n v="27"/>
    <x v="1"/>
    <n v="54384"/>
    <n v="39700.32"/>
  </r>
  <r>
    <s v="ORD603"/>
    <x v="274"/>
    <x v="2"/>
    <x v="2"/>
    <x v="0"/>
    <s v="Rahul"/>
    <n v="482"/>
    <n v="9"/>
    <n v="7"/>
    <x v="0"/>
    <n v="4338"/>
    <n v="4034.34"/>
  </r>
  <r>
    <s v="ORD606"/>
    <x v="267"/>
    <x v="3"/>
    <x v="4"/>
    <x v="0"/>
    <s v="Sneha"/>
    <n v="28967"/>
    <n v="6"/>
    <n v="30"/>
    <x v="2"/>
    <n v="173802"/>
    <n v="121661.4"/>
  </r>
  <r>
    <s v="ORD607"/>
    <x v="199"/>
    <x v="2"/>
    <x v="0"/>
    <x v="0"/>
    <s v="Kiran"/>
    <n v="8802"/>
    <n v="2"/>
    <n v="29"/>
    <x v="1"/>
    <n v="17604"/>
    <n v="12498.84"/>
  </r>
  <r>
    <s v="ORD609"/>
    <x v="154"/>
    <x v="0"/>
    <x v="4"/>
    <x v="0"/>
    <s v="Anjali"/>
    <n v="37067"/>
    <n v="6"/>
    <n v="4"/>
    <x v="1"/>
    <n v="222402"/>
    <n v="213505.92000000001"/>
  </r>
  <r>
    <s v="ORD610"/>
    <x v="275"/>
    <x v="1"/>
    <x v="0"/>
    <x v="0"/>
    <s v="Anjali"/>
    <n v="36997"/>
    <n v="9"/>
    <n v="3"/>
    <x v="0"/>
    <n v="332973"/>
    <n v="322983.81"/>
  </r>
  <r>
    <s v="ORD611"/>
    <x v="276"/>
    <x v="3"/>
    <x v="2"/>
    <x v="1"/>
    <s v="Priya"/>
    <n v="38940"/>
    <n v="5"/>
    <n v="19"/>
    <x v="1"/>
    <n v="194700"/>
    <n v="157707"/>
  </r>
  <r>
    <s v="ORD613"/>
    <x v="275"/>
    <x v="2"/>
    <x v="1"/>
    <x v="0"/>
    <s v="Sneha"/>
    <n v="26482"/>
    <n v="9"/>
    <n v="3"/>
    <x v="0"/>
    <n v="238338"/>
    <n v="231187.86"/>
  </r>
  <r>
    <s v="ORD614"/>
    <x v="202"/>
    <x v="1"/>
    <x v="0"/>
    <x v="0"/>
    <s v="Anjali"/>
    <n v="12345"/>
    <n v="7"/>
    <n v="1"/>
    <x v="1"/>
    <n v="86415"/>
    <n v="85550.85"/>
  </r>
  <r>
    <s v="ORD615"/>
    <x v="277"/>
    <x v="0"/>
    <x v="0"/>
    <x v="0"/>
    <s v="Priya"/>
    <n v="42623"/>
    <n v="9"/>
    <n v="12"/>
    <x v="1"/>
    <n v="383607"/>
    <n v="337574.16000000003"/>
  </r>
  <r>
    <s v="ORD616"/>
    <x v="163"/>
    <x v="0"/>
    <x v="0"/>
    <x v="0"/>
    <s v="Anjali"/>
    <n v="18529"/>
    <n v="5"/>
    <n v="14"/>
    <x v="0"/>
    <n v="92645"/>
    <n v="79674.7"/>
  </r>
  <r>
    <s v="ORD617"/>
    <x v="232"/>
    <x v="0"/>
    <x v="4"/>
    <x v="0"/>
    <s v="Rahul"/>
    <n v="1617"/>
    <n v="10"/>
    <n v="5"/>
    <x v="1"/>
    <n v="16170"/>
    <n v="15361.5"/>
  </r>
  <r>
    <s v="ORD618"/>
    <x v="278"/>
    <x v="0"/>
    <x v="3"/>
    <x v="1"/>
    <s v="Amit"/>
    <n v="16937"/>
    <n v="8"/>
    <n v="24"/>
    <x v="0"/>
    <n v="135496"/>
    <n v="102976.95999999999"/>
  </r>
  <r>
    <s v="ORD619"/>
    <x v="35"/>
    <x v="0"/>
    <x v="4"/>
    <x v="1"/>
    <s v="Ravi"/>
    <n v="1801"/>
    <n v="4"/>
    <n v="9"/>
    <x v="1"/>
    <n v="7204"/>
    <n v="6555.64"/>
  </r>
  <r>
    <s v="ORD620"/>
    <x v="209"/>
    <x v="0"/>
    <x v="0"/>
    <x v="1"/>
    <s v="Amit"/>
    <n v="3508"/>
    <n v="3"/>
    <n v="8"/>
    <x v="0"/>
    <n v="10524"/>
    <n v="9682.08"/>
  </r>
  <r>
    <s v="ORD621"/>
    <x v="41"/>
    <x v="0"/>
    <x v="2"/>
    <x v="0"/>
    <s v="Ravi"/>
    <n v="39422"/>
    <n v="9"/>
    <n v="13"/>
    <x v="1"/>
    <n v="354798"/>
    <n v="308674.26"/>
  </r>
  <r>
    <s v="ORD622"/>
    <x v="260"/>
    <x v="3"/>
    <x v="2"/>
    <x v="1"/>
    <s v="Kiran"/>
    <n v="44524"/>
    <n v="1"/>
    <n v="9"/>
    <x v="1"/>
    <n v="44524"/>
    <n v="40516.839999999997"/>
  </r>
  <r>
    <s v="ORD623"/>
    <x v="222"/>
    <x v="3"/>
    <x v="1"/>
    <x v="0"/>
    <s v="Sneha"/>
    <n v="13834"/>
    <n v="10"/>
    <n v="25"/>
    <x v="2"/>
    <n v="138340"/>
    <n v="103755"/>
  </r>
  <r>
    <s v="ORD626"/>
    <x v="279"/>
    <x v="0"/>
    <x v="2"/>
    <x v="1"/>
    <s v="Priya"/>
    <n v="3992"/>
    <n v="3"/>
    <n v="14"/>
    <x v="1"/>
    <n v="11976"/>
    <n v="10299.36"/>
  </r>
  <r>
    <s v="ORD627"/>
    <x v="99"/>
    <x v="1"/>
    <x v="3"/>
    <x v="1"/>
    <s v="Kiran"/>
    <n v="182"/>
    <n v="6"/>
    <n v="20"/>
    <x v="2"/>
    <n v="1092"/>
    <n v="873.6"/>
  </r>
  <r>
    <s v="ORD628"/>
    <x v="78"/>
    <x v="1"/>
    <x v="2"/>
    <x v="1"/>
    <s v="Anjali"/>
    <n v="10819"/>
    <n v="7"/>
    <n v="12"/>
    <x v="0"/>
    <n v="75733"/>
    <n v="66645.040000000008"/>
  </r>
  <r>
    <s v="ORD629"/>
    <x v="244"/>
    <x v="2"/>
    <x v="1"/>
    <x v="0"/>
    <s v="Kiran"/>
    <n v="5515"/>
    <n v="9"/>
    <n v="16"/>
    <x v="1"/>
    <n v="49635"/>
    <n v="41693.4"/>
  </r>
  <r>
    <s v="ORD630"/>
    <x v="162"/>
    <x v="2"/>
    <x v="3"/>
    <x v="0"/>
    <s v="Anjali"/>
    <n v="35216"/>
    <n v="8"/>
    <n v="25"/>
    <x v="1"/>
    <n v="281728"/>
    <n v="211296"/>
  </r>
  <r>
    <s v="ORD631"/>
    <x v="82"/>
    <x v="3"/>
    <x v="4"/>
    <x v="0"/>
    <s v="Anjali"/>
    <n v="11529"/>
    <n v="7"/>
    <n v="4"/>
    <x v="1"/>
    <n v="80703"/>
    <n v="77474.880000000005"/>
  </r>
  <r>
    <s v="ORD632"/>
    <x v="280"/>
    <x v="2"/>
    <x v="4"/>
    <x v="0"/>
    <s v="Sneha"/>
    <n v="27038"/>
    <n v="5"/>
    <n v="13"/>
    <x v="1"/>
    <n v="135190"/>
    <n v="117615.3"/>
  </r>
  <r>
    <s v="ORD633"/>
    <x v="50"/>
    <x v="1"/>
    <x v="2"/>
    <x v="0"/>
    <s v="Kiran"/>
    <n v="26786"/>
    <n v="10"/>
    <n v="30"/>
    <x v="2"/>
    <n v="267860"/>
    <n v="187502"/>
  </r>
  <r>
    <s v="ORD634"/>
    <x v="281"/>
    <x v="0"/>
    <x v="3"/>
    <x v="1"/>
    <s v="Sneha"/>
    <n v="11255"/>
    <n v="7"/>
    <n v="3"/>
    <x v="1"/>
    <n v="78785"/>
    <n v="76421.45"/>
  </r>
  <r>
    <s v="ORD635"/>
    <x v="282"/>
    <x v="1"/>
    <x v="4"/>
    <x v="1"/>
    <s v="Amit"/>
    <n v="30087"/>
    <n v="7"/>
    <n v="16"/>
    <x v="2"/>
    <n v="210609"/>
    <n v="176911.56"/>
  </r>
  <r>
    <s v="ORD636"/>
    <x v="283"/>
    <x v="0"/>
    <x v="3"/>
    <x v="1"/>
    <s v="Amit"/>
    <n v="10928"/>
    <n v="1"/>
    <n v="23"/>
    <x v="0"/>
    <n v="10928"/>
    <n v="8414.56"/>
  </r>
  <r>
    <s v="ORD637"/>
    <x v="112"/>
    <x v="1"/>
    <x v="1"/>
    <x v="0"/>
    <s v="Amit"/>
    <n v="26375"/>
    <n v="2"/>
    <n v="14"/>
    <x v="0"/>
    <n v="52750"/>
    <n v="45365"/>
  </r>
  <r>
    <s v="ORD638"/>
    <x v="4"/>
    <x v="1"/>
    <x v="2"/>
    <x v="0"/>
    <s v="Kiran"/>
    <n v="29143"/>
    <n v="8"/>
    <n v="18"/>
    <x v="0"/>
    <n v="233144"/>
    <n v="191178.08000000002"/>
  </r>
  <r>
    <s v="ORD639"/>
    <x v="33"/>
    <x v="0"/>
    <x v="0"/>
    <x v="0"/>
    <s v="Ravi"/>
    <n v="16533"/>
    <n v="2"/>
    <n v="2"/>
    <x v="1"/>
    <n v="33066"/>
    <n v="32404.68"/>
  </r>
  <r>
    <s v="ORD640"/>
    <x v="284"/>
    <x v="1"/>
    <x v="0"/>
    <x v="1"/>
    <s v="Kiran"/>
    <n v="47894"/>
    <n v="6"/>
    <n v="23"/>
    <x v="0"/>
    <n v="287364"/>
    <n v="221270.28"/>
  </r>
  <r>
    <s v="ORD642"/>
    <x v="90"/>
    <x v="3"/>
    <x v="3"/>
    <x v="1"/>
    <s v="Kiran"/>
    <n v="14158"/>
    <n v="9"/>
    <n v="13"/>
    <x v="2"/>
    <n v="127422"/>
    <n v="110857.14"/>
  </r>
  <r>
    <s v="ORD645"/>
    <x v="0"/>
    <x v="3"/>
    <x v="0"/>
    <x v="0"/>
    <s v="Sneha"/>
    <n v="11947"/>
    <n v="1"/>
    <n v="9"/>
    <x v="0"/>
    <n v="11947"/>
    <n v="10871.77"/>
  </r>
  <r>
    <s v="ORD646"/>
    <x v="261"/>
    <x v="2"/>
    <x v="0"/>
    <x v="1"/>
    <s v="Amit"/>
    <n v="37565"/>
    <n v="9"/>
    <n v="14"/>
    <x v="0"/>
    <n v="338085"/>
    <n v="290753.09999999998"/>
  </r>
  <r>
    <s v="ORD647"/>
    <x v="201"/>
    <x v="1"/>
    <x v="1"/>
    <x v="1"/>
    <s v="Rahul"/>
    <n v="2388"/>
    <n v="1"/>
    <n v="21"/>
    <x v="2"/>
    <n v="2388"/>
    <n v="1886.52"/>
  </r>
  <r>
    <s v="ORD649"/>
    <x v="215"/>
    <x v="3"/>
    <x v="4"/>
    <x v="0"/>
    <s v="Anjali"/>
    <n v="13749"/>
    <n v="10"/>
    <n v="13"/>
    <x v="2"/>
    <n v="137490"/>
    <n v="119616.3"/>
  </r>
  <r>
    <s v="ORD650"/>
    <x v="232"/>
    <x v="0"/>
    <x v="1"/>
    <x v="1"/>
    <s v="Priya"/>
    <n v="15004"/>
    <n v="7"/>
    <n v="19"/>
    <x v="0"/>
    <n v="105028"/>
    <n v="85072.68"/>
  </r>
  <r>
    <s v="ORD654"/>
    <x v="87"/>
    <x v="3"/>
    <x v="0"/>
    <x v="1"/>
    <s v="Anjali"/>
    <n v="23329"/>
    <n v="6"/>
    <n v="18"/>
    <x v="0"/>
    <n v="139974"/>
    <n v="114778.68"/>
  </r>
  <r>
    <s v="ORD655"/>
    <x v="21"/>
    <x v="1"/>
    <x v="4"/>
    <x v="1"/>
    <s v="Sneha"/>
    <n v="39555"/>
    <n v="10"/>
    <n v="17"/>
    <x v="0"/>
    <n v="395550"/>
    <n v="328306.5"/>
  </r>
  <r>
    <s v="ORD656"/>
    <x v="52"/>
    <x v="1"/>
    <x v="1"/>
    <x v="1"/>
    <s v="Rahul"/>
    <n v="23337"/>
    <n v="10"/>
    <n v="5"/>
    <x v="2"/>
    <n v="233370"/>
    <n v="221701.5"/>
  </r>
  <r>
    <s v="ORD658"/>
    <x v="247"/>
    <x v="1"/>
    <x v="4"/>
    <x v="0"/>
    <s v="Rahul"/>
    <n v="30051"/>
    <n v="8"/>
    <n v="22"/>
    <x v="2"/>
    <n v="240408"/>
    <n v="187518.24"/>
  </r>
  <r>
    <s v="ORD659"/>
    <x v="285"/>
    <x v="0"/>
    <x v="4"/>
    <x v="0"/>
    <s v="Ravi"/>
    <n v="20678"/>
    <n v="1"/>
    <n v="13"/>
    <x v="1"/>
    <n v="20678"/>
    <n v="17989.86"/>
  </r>
  <r>
    <s v="ORD661"/>
    <x v="237"/>
    <x v="1"/>
    <x v="3"/>
    <x v="1"/>
    <s v="Kiran"/>
    <n v="39741"/>
    <n v="1"/>
    <n v="9"/>
    <x v="2"/>
    <n v="39741"/>
    <n v="36164.31"/>
  </r>
  <r>
    <s v="ORD662"/>
    <x v="252"/>
    <x v="1"/>
    <x v="0"/>
    <x v="0"/>
    <s v="Amit"/>
    <n v="11360"/>
    <n v="2"/>
    <n v="15"/>
    <x v="1"/>
    <n v="22720"/>
    <n v="19312"/>
  </r>
  <r>
    <s v="ORD665"/>
    <x v="104"/>
    <x v="2"/>
    <x v="4"/>
    <x v="0"/>
    <s v="Ravi"/>
    <n v="20125"/>
    <n v="6"/>
    <n v="3"/>
    <x v="1"/>
    <n v="120750"/>
    <n v="117127.5"/>
  </r>
  <r>
    <s v="ORD666"/>
    <x v="116"/>
    <x v="0"/>
    <x v="3"/>
    <x v="1"/>
    <s v="Rahul"/>
    <n v="8880"/>
    <n v="4"/>
    <n v="29"/>
    <x v="2"/>
    <n v="35520"/>
    <n v="25219.200000000001"/>
  </r>
  <r>
    <s v="ORD667"/>
    <x v="34"/>
    <x v="1"/>
    <x v="3"/>
    <x v="1"/>
    <s v="Kiran"/>
    <n v="26724"/>
    <n v="7"/>
    <n v="29"/>
    <x v="1"/>
    <n v="187068"/>
    <n v="132818.28"/>
  </r>
  <r>
    <s v="ORD668"/>
    <x v="286"/>
    <x v="0"/>
    <x v="2"/>
    <x v="1"/>
    <s v="Rahul"/>
    <n v="6093"/>
    <n v="8"/>
    <n v="3"/>
    <x v="0"/>
    <n v="48744"/>
    <n v="47281.68"/>
  </r>
  <r>
    <s v="ORD670"/>
    <x v="41"/>
    <x v="0"/>
    <x v="3"/>
    <x v="1"/>
    <s v="Rahul"/>
    <n v="46517"/>
    <n v="7"/>
    <n v="28"/>
    <x v="2"/>
    <n v="325619"/>
    <n v="234445.68"/>
  </r>
  <r>
    <s v="ORD671"/>
    <x v="272"/>
    <x v="1"/>
    <x v="3"/>
    <x v="1"/>
    <s v="Sneha"/>
    <n v="33825"/>
    <n v="2"/>
    <n v="18"/>
    <x v="2"/>
    <n v="67650"/>
    <n v="55473"/>
  </r>
  <r>
    <s v="ORD672"/>
    <x v="265"/>
    <x v="2"/>
    <x v="2"/>
    <x v="1"/>
    <s v="Ravi"/>
    <n v="2297"/>
    <n v="10"/>
    <n v="9"/>
    <x v="0"/>
    <n v="22970"/>
    <n v="20902.7"/>
  </r>
  <r>
    <s v="ORD673"/>
    <x v="287"/>
    <x v="2"/>
    <x v="2"/>
    <x v="1"/>
    <s v="Rahul"/>
    <n v="9874"/>
    <n v="7"/>
    <n v="24"/>
    <x v="1"/>
    <n v="69118"/>
    <n v="52529.68"/>
  </r>
  <r>
    <s v="ORD674"/>
    <x v="183"/>
    <x v="0"/>
    <x v="0"/>
    <x v="0"/>
    <s v="Amit"/>
    <n v="31126"/>
    <n v="2"/>
    <n v="11"/>
    <x v="2"/>
    <n v="62252"/>
    <n v="55404.28"/>
  </r>
  <r>
    <s v="ORD675"/>
    <x v="225"/>
    <x v="1"/>
    <x v="2"/>
    <x v="1"/>
    <s v="Kiran"/>
    <n v="23754"/>
    <n v="1"/>
    <n v="24"/>
    <x v="2"/>
    <n v="23754"/>
    <n v="18053.04"/>
  </r>
  <r>
    <s v="ORD676"/>
    <x v="152"/>
    <x v="3"/>
    <x v="4"/>
    <x v="0"/>
    <s v="Priya"/>
    <n v="39429"/>
    <n v="4"/>
    <n v="3"/>
    <x v="1"/>
    <n v="157716"/>
    <n v="152984.51999999999"/>
  </r>
  <r>
    <s v="ORD677"/>
    <x v="191"/>
    <x v="2"/>
    <x v="1"/>
    <x v="1"/>
    <s v="Priya"/>
    <n v="48875"/>
    <n v="9"/>
    <n v="25"/>
    <x v="0"/>
    <n v="439875"/>
    <n v="329906.25"/>
  </r>
  <r>
    <s v="ORD678"/>
    <x v="113"/>
    <x v="3"/>
    <x v="3"/>
    <x v="0"/>
    <s v="Amit"/>
    <n v="4390"/>
    <n v="7"/>
    <n v="24"/>
    <x v="1"/>
    <n v="30730"/>
    <n v="23354.799999999999"/>
  </r>
  <r>
    <s v="ORD679"/>
    <x v="77"/>
    <x v="3"/>
    <x v="1"/>
    <x v="1"/>
    <s v="Sneha"/>
    <n v="30988"/>
    <n v="1"/>
    <n v="1"/>
    <x v="1"/>
    <n v="30988"/>
    <n v="30678.12"/>
  </r>
  <r>
    <s v="ORD680"/>
    <x v="235"/>
    <x v="1"/>
    <x v="0"/>
    <x v="1"/>
    <s v="Rahul"/>
    <n v="35144"/>
    <n v="6"/>
    <n v="2"/>
    <x v="1"/>
    <n v="210864"/>
    <n v="206646.72"/>
  </r>
  <r>
    <s v="ORD681"/>
    <x v="6"/>
    <x v="3"/>
    <x v="2"/>
    <x v="0"/>
    <s v="Priya"/>
    <n v="41729"/>
    <n v="5"/>
    <n v="22"/>
    <x v="0"/>
    <n v="208645"/>
    <n v="162743.1"/>
  </r>
  <r>
    <s v="ORD682"/>
    <x v="228"/>
    <x v="3"/>
    <x v="1"/>
    <x v="0"/>
    <s v="Ravi"/>
    <n v="2469"/>
    <n v="4"/>
    <n v="22"/>
    <x v="2"/>
    <n v="9876"/>
    <n v="7703.2800000000007"/>
  </r>
  <r>
    <s v="ORD683"/>
    <x v="239"/>
    <x v="0"/>
    <x v="3"/>
    <x v="1"/>
    <s v="Amit"/>
    <n v="7060"/>
    <n v="2"/>
    <n v="4"/>
    <x v="0"/>
    <n v="14120"/>
    <n v="13555.2"/>
  </r>
  <r>
    <s v="ORD684"/>
    <x v="225"/>
    <x v="2"/>
    <x v="1"/>
    <x v="0"/>
    <s v="Ravi"/>
    <n v="42313"/>
    <n v="7"/>
    <n v="12"/>
    <x v="2"/>
    <n v="296191"/>
    <n v="260648.08000000002"/>
  </r>
  <r>
    <s v="ORD685"/>
    <x v="284"/>
    <x v="2"/>
    <x v="1"/>
    <x v="0"/>
    <s v="Anjali"/>
    <n v="66"/>
    <n v="5"/>
    <n v="19"/>
    <x v="1"/>
    <n v="330"/>
    <n v="267.3"/>
  </r>
  <r>
    <s v="ORD686"/>
    <x v="288"/>
    <x v="0"/>
    <x v="0"/>
    <x v="0"/>
    <s v="Ravi"/>
    <n v="19728"/>
    <n v="7"/>
    <n v="9"/>
    <x v="1"/>
    <n v="138096"/>
    <n v="125667.36"/>
  </r>
  <r>
    <s v="ORD687"/>
    <x v="289"/>
    <x v="0"/>
    <x v="1"/>
    <x v="1"/>
    <s v="Ravi"/>
    <n v="16285"/>
    <n v="5"/>
    <n v="16"/>
    <x v="2"/>
    <n v="81425"/>
    <n v="68397"/>
  </r>
  <r>
    <s v="ORD688"/>
    <x v="141"/>
    <x v="2"/>
    <x v="3"/>
    <x v="1"/>
    <s v="Anjali"/>
    <n v="36908"/>
    <n v="2"/>
    <n v="5"/>
    <x v="0"/>
    <n v="73816"/>
    <n v="70125.2"/>
  </r>
  <r>
    <s v="ORD689"/>
    <x v="11"/>
    <x v="0"/>
    <x v="3"/>
    <x v="1"/>
    <s v="Priya"/>
    <n v="44842"/>
    <n v="1"/>
    <n v="5"/>
    <x v="0"/>
    <n v="44842"/>
    <n v="42599.9"/>
  </r>
  <r>
    <s v="ORD690"/>
    <x v="256"/>
    <x v="0"/>
    <x v="3"/>
    <x v="0"/>
    <s v="Priya"/>
    <n v="15407"/>
    <n v="5"/>
    <n v="23"/>
    <x v="0"/>
    <n v="77035"/>
    <n v="59316.95"/>
  </r>
  <r>
    <s v="ORD692"/>
    <x v="290"/>
    <x v="3"/>
    <x v="0"/>
    <x v="0"/>
    <s v="Amit"/>
    <n v="18882"/>
    <n v="1"/>
    <n v="6"/>
    <x v="0"/>
    <n v="18882"/>
    <n v="17749.080000000002"/>
  </r>
  <r>
    <s v="ORD693"/>
    <x v="258"/>
    <x v="1"/>
    <x v="3"/>
    <x v="1"/>
    <s v="Kiran"/>
    <n v="3889"/>
    <n v="9"/>
    <n v="26"/>
    <x v="1"/>
    <n v="35001"/>
    <n v="25900.739999999998"/>
  </r>
  <r>
    <s v="ORD694"/>
    <x v="30"/>
    <x v="0"/>
    <x v="1"/>
    <x v="1"/>
    <s v="Priya"/>
    <n v="1688"/>
    <n v="4"/>
    <n v="23"/>
    <x v="2"/>
    <n v="6752"/>
    <n v="5199.04"/>
  </r>
  <r>
    <s v="ORD695"/>
    <x v="94"/>
    <x v="0"/>
    <x v="3"/>
    <x v="0"/>
    <s v="Amit"/>
    <n v="49393"/>
    <n v="10"/>
    <n v="24"/>
    <x v="2"/>
    <n v="493930"/>
    <n v="375386.8"/>
  </r>
  <r>
    <s v="ORD696"/>
    <x v="24"/>
    <x v="2"/>
    <x v="1"/>
    <x v="0"/>
    <s v="Ravi"/>
    <n v="35751"/>
    <n v="6"/>
    <n v="29"/>
    <x v="2"/>
    <n v="214506"/>
    <n v="152299.26"/>
  </r>
  <r>
    <s v="ORD697"/>
    <x v="91"/>
    <x v="2"/>
    <x v="4"/>
    <x v="0"/>
    <s v="Anjali"/>
    <n v="22435"/>
    <n v="2"/>
    <n v="2"/>
    <x v="2"/>
    <n v="44870"/>
    <n v="43972.6"/>
  </r>
  <r>
    <s v="ORD698"/>
    <x v="291"/>
    <x v="3"/>
    <x v="0"/>
    <x v="0"/>
    <s v="Rahul"/>
    <n v="21627"/>
    <n v="6"/>
    <n v="7"/>
    <x v="1"/>
    <n v="129762"/>
    <n v="120678.66"/>
  </r>
  <r>
    <s v="ORD699"/>
    <x v="255"/>
    <x v="1"/>
    <x v="1"/>
    <x v="0"/>
    <s v="Kiran"/>
    <n v="21292"/>
    <n v="4"/>
    <n v="3"/>
    <x v="2"/>
    <n v="85168"/>
    <n v="82612.960000000006"/>
  </r>
  <r>
    <s v="ORD701"/>
    <x v="292"/>
    <x v="0"/>
    <x v="3"/>
    <x v="1"/>
    <s v="Amit"/>
    <n v="14476"/>
    <n v="4"/>
    <n v="4"/>
    <x v="1"/>
    <n v="57904"/>
    <n v="55587.839999999997"/>
  </r>
  <r>
    <s v="ORD702"/>
    <x v="293"/>
    <x v="1"/>
    <x v="3"/>
    <x v="0"/>
    <s v="Amit"/>
    <n v="11627"/>
    <n v="7"/>
    <n v="8"/>
    <x v="1"/>
    <n v="81389"/>
    <n v="74877.88"/>
  </r>
  <r>
    <s v="ORD703"/>
    <x v="126"/>
    <x v="1"/>
    <x v="0"/>
    <x v="1"/>
    <s v="Priya"/>
    <n v="26659"/>
    <n v="8"/>
    <n v="9"/>
    <x v="1"/>
    <n v="213272"/>
    <n v="194077.52"/>
  </r>
  <r>
    <s v="ORD704"/>
    <x v="184"/>
    <x v="3"/>
    <x v="0"/>
    <x v="1"/>
    <s v="Amit"/>
    <n v="14819"/>
    <n v="10"/>
    <n v="10"/>
    <x v="2"/>
    <n v="148190"/>
    <n v="133371"/>
  </r>
  <r>
    <s v="ORD705"/>
    <x v="160"/>
    <x v="2"/>
    <x v="4"/>
    <x v="1"/>
    <s v="Anjali"/>
    <n v="4230"/>
    <n v="10"/>
    <n v="27"/>
    <x v="0"/>
    <n v="42300"/>
    <n v="30879"/>
  </r>
  <r>
    <s v="ORD706"/>
    <x v="224"/>
    <x v="1"/>
    <x v="4"/>
    <x v="1"/>
    <s v="Amit"/>
    <n v="24871"/>
    <n v="6"/>
    <n v="20"/>
    <x v="0"/>
    <n v="149226"/>
    <n v="119380.8"/>
  </r>
  <r>
    <s v="ORD707"/>
    <x v="223"/>
    <x v="2"/>
    <x v="4"/>
    <x v="0"/>
    <s v="Rahul"/>
    <n v="18704"/>
    <n v="6"/>
    <n v="22"/>
    <x v="0"/>
    <n v="112224"/>
    <n v="87534.720000000001"/>
  </r>
  <r>
    <s v="ORD709"/>
    <x v="156"/>
    <x v="0"/>
    <x v="4"/>
    <x v="1"/>
    <s v="Priya"/>
    <n v="10243"/>
    <n v="4"/>
    <n v="11"/>
    <x v="2"/>
    <n v="40972"/>
    <n v="36465.08"/>
  </r>
  <r>
    <s v="ORD710"/>
    <x v="12"/>
    <x v="2"/>
    <x v="0"/>
    <x v="1"/>
    <s v="Rahul"/>
    <n v="7436"/>
    <n v="3"/>
    <n v="6"/>
    <x v="1"/>
    <n v="22308"/>
    <n v="20969.52"/>
  </r>
  <r>
    <s v="ORD711"/>
    <x v="294"/>
    <x v="1"/>
    <x v="1"/>
    <x v="1"/>
    <s v="Ravi"/>
    <n v="19494"/>
    <n v="1"/>
    <n v="16"/>
    <x v="0"/>
    <n v="19494"/>
    <n v="16374.96"/>
  </r>
  <r>
    <s v="ORD712"/>
    <x v="144"/>
    <x v="2"/>
    <x v="4"/>
    <x v="1"/>
    <s v="Priya"/>
    <n v="16830"/>
    <n v="6"/>
    <n v="6"/>
    <x v="1"/>
    <n v="100980"/>
    <n v="94921.2"/>
  </r>
  <r>
    <s v="ORD713"/>
    <x v="295"/>
    <x v="3"/>
    <x v="4"/>
    <x v="0"/>
    <s v="Priya"/>
    <n v="22115"/>
    <n v="2"/>
    <n v="4"/>
    <x v="1"/>
    <n v="44230"/>
    <n v="42460.800000000003"/>
  </r>
  <r>
    <s v="ORD714"/>
    <x v="200"/>
    <x v="1"/>
    <x v="4"/>
    <x v="0"/>
    <s v="Amit"/>
    <n v="42246"/>
    <n v="3"/>
    <n v="18"/>
    <x v="0"/>
    <n v="126738"/>
    <n v="103925.16"/>
  </r>
  <r>
    <s v="ORD715"/>
    <x v="43"/>
    <x v="3"/>
    <x v="0"/>
    <x v="0"/>
    <s v="Kiran"/>
    <n v="48486"/>
    <n v="7"/>
    <n v="23"/>
    <x v="2"/>
    <n v="339402"/>
    <n v="261339.53999999998"/>
  </r>
  <r>
    <s v="ORD716"/>
    <x v="40"/>
    <x v="0"/>
    <x v="3"/>
    <x v="0"/>
    <s v="Rahul"/>
    <n v="33809"/>
    <n v="3"/>
    <n v="24"/>
    <x v="1"/>
    <n v="101427"/>
    <n v="77084.52"/>
  </r>
  <r>
    <s v="ORD717"/>
    <x v="296"/>
    <x v="1"/>
    <x v="1"/>
    <x v="0"/>
    <s v="Sneha"/>
    <n v="47832"/>
    <n v="7"/>
    <n v="24"/>
    <x v="1"/>
    <n v="334824"/>
    <n v="254466.24"/>
  </r>
  <r>
    <s v="ORD718"/>
    <x v="297"/>
    <x v="1"/>
    <x v="3"/>
    <x v="1"/>
    <s v="Anjali"/>
    <n v="12953"/>
    <n v="8"/>
    <n v="19"/>
    <x v="2"/>
    <n v="103624"/>
    <n v="83935.44"/>
  </r>
  <r>
    <s v="ORD719"/>
    <x v="117"/>
    <x v="3"/>
    <x v="0"/>
    <x v="1"/>
    <s v="Kiran"/>
    <n v="29791"/>
    <n v="6"/>
    <n v="24"/>
    <x v="2"/>
    <n v="178746"/>
    <n v="135846.96"/>
  </r>
  <r>
    <s v="ORD720"/>
    <x v="110"/>
    <x v="3"/>
    <x v="4"/>
    <x v="0"/>
    <s v="Ravi"/>
    <n v="12389"/>
    <n v="7"/>
    <n v="3"/>
    <x v="1"/>
    <n v="86723"/>
    <n v="84121.31"/>
  </r>
  <r>
    <s v="ORD721"/>
    <x v="298"/>
    <x v="3"/>
    <x v="0"/>
    <x v="1"/>
    <s v="Rahul"/>
    <n v="41322"/>
    <n v="7"/>
    <n v="23"/>
    <x v="1"/>
    <n v="289254"/>
    <n v="222725.58000000002"/>
  </r>
  <r>
    <s v="ORD722"/>
    <x v="271"/>
    <x v="3"/>
    <x v="4"/>
    <x v="0"/>
    <s v="Sneha"/>
    <n v="22783"/>
    <n v="2"/>
    <n v="14"/>
    <x v="0"/>
    <n v="45566"/>
    <n v="39186.76"/>
  </r>
  <r>
    <s v="ORD723"/>
    <x v="26"/>
    <x v="2"/>
    <x v="2"/>
    <x v="1"/>
    <s v="Ravi"/>
    <n v="23627"/>
    <n v="3"/>
    <n v="8"/>
    <x v="1"/>
    <n v="70881"/>
    <n v="65210.520000000004"/>
  </r>
  <r>
    <s v="ORD724"/>
    <x v="193"/>
    <x v="0"/>
    <x v="4"/>
    <x v="0"/>
    <s v="Priya"/>
    <n v="39255"/>
    <n v="1"/>
    <n v="9"/>
    <x v="0"/>
    <n v="39255"/>
    <n v="35722.050000000003"/>
  </r>
  <r>
    <s v="ORD725"/>
    <x v="67"/>
    <x v="0"/>
    <x v="3"/>
    <x v="0"/>
    <s v="Ravi"/>
    <n v="11540"/>
    <n v="8"/>
    <n v="6"/>
    <x v="1"/>
    <n v="92320"/>
    <n v="86780.800000000003"/>
  </r>
  <r>
    <s v="ORD727"/>
    <x v="299"/>
    <x v="0"/>
    <x v="3"/>
    <x v="1"/>
    <s v="Amit"/>
    <n v="30107"/>
    <n v="4"/>
    <n v="21"/>
    <x v="1"/>
    <n v="120428"/>
    <n v="95138.12"/>
  </r>
  <r>
    <s v="ORD728"/>
    <x v="89"/>
    <x v="1"/>
    <x v="1"/>
    <x v="0"/>
    <s v="Ravi"/>
    <n v="21683"/>
    <n v="2"/>
    <n v="21"/>
    <x v="0"/>
    <n v="43366"/>
    <n v="34259.14"/>
  </r>
  <r>
    <s v="ORD729"/>
    <x v="1"/>
    <x v="1"/>
    <x v="3"/>
    <x v="1"/>
    <s v="Ravi"/>
    <n v="14265"/>
    <n v="1"/>
    <n v="26"/>
    <x v="0"/>
    <n v="14265"/>
    <n v="10556.1"/>
  </r>
  <r>
    <s v="ORD730"/>
    <x v="128"/>
    <x v="0"/>
    <x v="2"/>
    <x v="0"/>
    <s v="Ravi"/>
    <n v="46293"/>
    <n v="6"/>
    <n v="30"/>
    <x v="1"/>
    <n v="277758"/>
    <n v="194430.6"/>
  </r>
  <r>
    <s v="ORD731"/>
    <x v="227"/>
    <x v="2"/>
    <x v="0"/>
    <x v="0"/>
    <s v="Ravi"/>
    <n v="24388"/>
    <n v="8"/>
    <n v="30"/>
    <x v="0"/>
    <n v="195104"/>
    <n v="136572.79999999999"/>
  </r>
  <r>
    <s v="ORD732"/>
    <x v="134"/>
    <x v="2"/>
    <x v="0"/>
    <x v="0"/>
    <s v="Kiran"/>
    <n v="42387"/>
    <n v="5"/>
    <n v="30"/>
    <x v="0"/>
    <n v="211935"/>
    <n v="148354.5"/>
  </r>
  <r>
    <s v="ORD734"/>
    <x v="300"/>
    <x v="1"/>
    <x v="2"/>
    <x v="1"/>
    <s v="Anjali"/>
    <n v="5618"/>
    <n v="4"/>
    <n v="5"/>
    <x v="2"/>
    <n v="22472"/>
    <n v="21348.400000000001"/>
  </r>
  <r>
    <s v="ORD735"/>
    <x v="250"/>
    <x v="2"/>
    <x v="1"/>
    <x v="0"/>
    <s v="Priya"/>
    <n v="45283"/>
    <n v="8"/>
    <n v="20"/>
    <x v="2"/>
    <n v="362264"/>
    <n v="289811.20000000001"/>
  </r>
  <r>
    <s v="ORD737"/>
    <x v="102"/>
    <x v="2"/>
    <x v="2"/>
    <x v="1"/>
    <s v="Ravi"/>
    <n v="3808"/>
    <n v="9"/>
    <n v="24"/>
    <x v="1"/>
    <n v="34272"/>
    <n v="26046.720000000001"/>
  </r>
  <r>
    <s v="ORD738"/>
    <x v="257"/>
    <x v="2"/>
    <x v="3"/>
    <x v="0"/>
    <s v="Anjali"/>
    <n v="29490"/>
    <n v="6"/>
    <n v="21"/>
    <x v="0"/>
    <n v="176940"/>
    <n v="139782.6"/>
  </r>
  <r>
    <s v="ORD740"/>
    <x v="301"/>
    <x v="2"/>
    <x v="4"/>
    <x v="1"/>
    <s v="Ravi"/>
    <n v="17323"/>
    <n v="2"/>
    <n v="20"/>
    <x v="2"/>
    <n v="34646"/>
    <n v="27716.799999999999"/>
  </r>
  <r>
    <s v="ORD741"/>
    <x v="217"/>
    <x v="0"/>
    <x v="1"/>
    <x v="1"/>
    <s v="Kiran"/>
    <n v="9084"/>
    <n v="6"/>
    <n v="14"/>
    <x v="2"/>
    <n v="54504"/>
    <n v="46873.440000000002"/>
  </r>
  <r>
    <s v="ORD742"/>
    <x v="114"/>
    <x v="1"/>
    <x v="1"/>
    <x v="0"/>
    <s v="Priya"/>
    <n v="16764"/>
    <n v="4"/>
    <n v="17"/>
    <x v="2"/>
    <n v="67056"/>
    <n v="55656.479999999996"/>
  </r>
  <r>
    <s v="ORD743"/>
    <x v="81"/>
    <x v="1"/>
    <x v="4"/>
    <x v="1"/>
    <s v="Amit"/>
    <n v="39369"/>
    <n v="8"/>
    <n v="20"/>
    <x v="2"/>
    <n v="314952"/>
    <n v="251961.60000000001"/>
  </r>
  <r>
    <s v="ORD744"/>
    <x v="133"/>
    <x v="0"/>
    <x v="4"/>
    <x v="1"/>
    <s v="Anjali"/>
    <n v="2520"/>
    <n v="9"/>
    <n v="28"/>
    <x v="0"/>
    <n v="22680"/>
    <n v="16329.6"/>
  </r>
  <r>
    <s v="ORD745"/>
    <x v="120"/>
    <x v="0"/>
    <x v="0"/>
    <x v="1"/>
    <s v="Amit"/>
    <n v="11944"/>
    <n v="5"/>
    <n v="22"/>
    <x v="0"/>
    <n v="59720"/>
    <n v="46581.599999999999"/>
  </r>
  <r>
    <s v="ORD746"/>
    <x v="280"/>
    <x v="3"/>
    <x v="2"/>
    <x v="1"/>
    <s v="Sneha"/>
    <n v="3165"/>
    <n v="6"/>
    <n v="16"/>
    <x v="2"/>
    <n v="18990"/>
    <n v="15951.6"/>
  </r>
  <r>
    <s v="ORD747"/>
    <x v="74"/>
    <x v="0"/>
    <x v="3"/>
    <x v="0"/>
    <s v="Amit"/>
    <n v="23911"/>
    <n v="1"/>
    <n v="3"/>
    <x v="0"/>
    <n v="23911"/>
    <n v="23193.67"/>
  </r>
  <r>
    <s v="ORD749"/>
    <x v="133"/>
    <x v="3"/>
    <x v="4"/>
    <x v="0"/>
    <s v="Priya"/>
    <n v="40549"/>
    <n v="7"/>
    <n v="7"/>
    <x v="0"/>
    <n v="283843"/>
    <n v="263973.99"/>
  </r>
  <r>
    <s v="ORD750"/>
    <x v="212"/>
    <x v="1"/>
    <x v="0"/>
    <x v="0"/>
    <s v="Sneha"/>
    <n v="37750"/>
    <n v="3"/>
    <n v="23"/>
    <x v="1"/>
    <n v="113250"/>
    <n v="87202.5"/>
  </r>
  <r>
    <s v="ORD751"/>
    <x v="153"/>
    <x v="2"/>
    <x v="2"/>
    <x v="0"/>
    <s v="Priya"/>
    <n v="17765"/>
    <n v="3"/>
    <n v="18"/>
    <x v="0"/>
    <n v="53295"/>
    <n v="43701.9"/>
  </r>
  <r>
    <s v="ORD752"/>
    <x v="128"/>
    <x v="2"/>
    <x v="3"/>
    <x v="1"/>
    <s v="Ravi"/>
    <n v="41931"/>
    <n v="10"/>
    <n v="17"/>
    <x v="1"/>
    <n v="419310"/>
    <n v="348027.3"/>
  </r>
  <r>
    <s v="ORD753"/>
    <x v="69"/>
    <x v="1"/>
    <x v="4"/>
    <x v="1"/>
    <s v="Kiran"/>
    <n v="18054"/>
    <n v="5"/>
    <n v="10"/>
    <x v="0"/>
    <n v="90270"/>
    <n v="81243"/>
  </r>
  <r>
    <s v="ORD754"/>
    <x v="121"/>
    <x v="0"/>
    <x v="4"/>
    <x v="1"/>
    <s v="Amit"/>
    <n v="42316"/>
    <n v="8"/>
    <n v="24"/>
    <x v="2"/>
    <n v="338528"/>
    <n v="257281.28"/>
  </r>
  <r>
    <s v="ORD755"/>
    <x v="302"/>
    <x v="2"/>
    <x v="3"/>
    <x v="0"/>
    <s v="Anjali"/>
    <n v="29489"/>
    <n v="6"/>
    <n v="4"/>
    <x v="1"/>
    <n v="176934"/>
    <n v="169856.64000000001"/>
  </r>
  <r>
    <s v="ORD756"/>
    <x v="249"/>
    <x v="1"/>
    <x v="4"/>
    <x v="1"/>
    <s v="Amit"/>
    <n v="10161"/>
    <n v="1"/>
    <n v="27"/>
    <x v="1"/>
    <n v="10161"/>
    <n v="7417.5300000000007"/>
  </r>
  <r>
    <s v="ORD757"/>
    <x v="222"/>
    <x v="3"/>
    <x v="2"/>
    <x v="1"/>
    <s v="Amit"/>
    <n v="42723"/>
    <n v="6"/>
    <n v="0"/>
    <x v="2"/>
    <n v="256338"/>
    <n v="256338"/>
  </r>
  <r>
    <s v="ORD758"/>
    <x v="117"/>
    <x v="0"/>
    <x v="1"/>
    <x v="1"/>
    <s v="Anjali"/>
    <n v="5139"/>
    <n v="1"/>
    <n v="24"/>
    <x v="2"/>
    <n v="5139"/>
    <n v="3905.6400000000003"/>
  </r>
  <r>
    <s v="ORD760"/>
    <x v="149"/>
    <x v="0"/>
    <x v="4"/>
    <x v="0"/>
    <s v="Rahul"/>
    <n v="1702"/>
    <n v="8"/>
    <n v="24"/>
    <x v="0"/>
    <n v="13616"/>
    <n v="10348.16"/>
  </r>
  <r>
    <s v="ORD762"/>
    <x v="9"/>
    <x v="1"/>
    <x v="3"/>
    <x v="0"/>
    <s v="Sneha"/>
    <n v="2988"/>
    <n v="8"/>
    <n v="21"/>
    <x v="1"/>
    <n v="23904"/>
    <n v="18884.16"/>
  </r>
  <r>
    <s v="ORD763"/>
    <x v="113"/>
    <x v="0"/>
    <x v="4"/>
    <x v="1"/>
    <s v="Kiran"/>
    <n v="27128"/>
    <n v="5"/>
    <n v="9"/>
    <x v="2"/>
    <n v="135640"/>
    <n v="123432.4"/>
  </r>
  <r>
    <s v="ORD764"/>
    <x v="163"/>
    <x v="1"/>
    <x v="0"/>
    <x v="0"/>
    <s v="Sneha"/>
    <n v="13482"/>
    <n v="9"/>
    <n v="11"/>
    <x v="1"/>
    <n v="121338"/>
    <n v="107990.82"/>
  </r>
  <r>
    <s v="ORD765"/>
    <x v="76"/>
    <x v="3"/>
    <x v="3"/>
    <x v="1"/>
    <s v="Ravi"/>
    <n v="21637"/>
    <n v="4"/>
    <n v="17"/>
    <x v="1"/>
    <n v="86548"/>
    <n v="71834.84"/>
  </r>
  <r>
    <s v="ORD766"/>
    <x v="109"/>
    <x v="1"/>
    <x v="3"/>
    <x v="0"/>
    <s v="Priya"/>
    <n v="4552"/>
    <n v="6"/>
    <n v="1"/>
    <x v="1"/>
    <n v="27312"/>
    <n v="27038.880000000001"/>
  </r>
  <r>
    <s v="ORD767"/>
    <x v="14"/>
    <x v="0"/>
    <x v="1"/>
    <x v="0"/>
    <s v="Kiran"/>
    <n v="10439"/>
    <n v="8"/>
    <n v="4"/>
    <x v="1"/>
    <n v="83512"/>
    <n v="80171.520000000004"/>
  </r>
  <r>
    <s v="ORD768"/>
    <x v="303"/>
    <x v="1"/>
    <x v="1"/>
    <x v="1"/>
    <s v="Priya"/>
    <n v="34006"/>
    <n v="6"/>
    <n v="18"/>
    <x v="2"/>
    <n v="204036"/>
    <n v="167309.51999999999"/>
  </r>
  <r>
    <s v="ORD769"/>
    <x v="220"/>
    <x v="0"/>
    <x v="2"/>
    <x v="0"/>
    <s v="Sneha"/>
    <n v="3770"/>
    <n v="7"/>
    <n v="10"/>
    <x v="0"/>
    <n v="26390"/>
    <n v="23751"/>
  </r>
  <r>
    <s v="ORD770"/>
    <x v="193"/>
    <x v="0"/>
    <x v="4"/>
    <x v="0"/>
    <s v="Rahul"/>
    <n v="1394"/>
    <n v="10"/>
    <n v="26"/>
    <x v="0"/>
    <n v="13940"/>
    <n v="10315.6"/>
  </r>
  <r>
    <s v="ORD773"/>
    <x v="29"/>
    <x v="2"/>
    <x v="2"/>
    <x v="1"/>
    <s v="Amit"/>
    <n v="20396"/>
    <n v="1"/>
    <n v="1"/>
    <x v="0"/>
    <n v="20396"/>
    <n v="20192.04"/>
  </r>
  <r>
    <s v="ORD774"/>
    <x v="277"/>
    <x v="0"/>
    <x v="3"/>
    <x v="0"/>
    <s v="Priya"/>
    <n v="46072"/>
    <n v="7"/>
    <n v="2"/>
    <x v="2"/>
    <n v="322504"/>
    <n v="316053.92"/>
  </r>
  <r>
    <s v="ORD775"/>
    <x v="134"/>
    <x v="3"/>
    <x v="0"/>
    <x v="0"/>
    <s v="Amit"/>
    <n v="34358"/>
    <n v="7"/>
    <n v="0"/>
    <x v="0"/>
    <n v="240506"/>
    <n v="240506"/>
  </r>
  <r>
    <s v="ORD776"/>
    <x v="222"/>
    <x v="3"/>
    <x v="3"/>
    <x v="0"/>
    <s v="Amit"/>
    <n v="18735"/>
    <n v="8"/>
    <n v="4"/>
    <x v="0"/>
    <n v="149880"/>
    <n v="143884.79999999999"/>
  </r>
  <r>
    <s v="ORD777"/>
    <x v="131"/>
    <x v="2"/>
    <x v="0"/>
    <x v="0"/>
    <s v="Rahul"/>
    <n v="46759"/>
    <n v="4"/>
    <n v="17"/>
    <x v="1"/>
    <n v="187036"/>
    <n v="155239.88"/>
  </r>
  <r>
    <s v="ORD778"/>
    <x v="239"/>
    <x v="1"/>
    <x v="0"/>
    <x v="1"/>
    <s v="Sneha"/>
    <n v="1808"/>
    <n v="10"/>
    <n v="23"/>
    <x v="2"/>
    <n v="18080"/>
    <n v="13921.6"/>
  </r>
  <r>
    <s v="ORD779"/>
    <x v="265"/>
    <x v="1"/>
    <x v="0"/>
    <x v="1"/>
    <s v="Rahul"/>
    <n v="48273"/>
    <n v="7"/>
    <n v="17"/>
    <x v="2"/>
    <n v="337911"/>
    <n v="280466.13"/>
  </r>
  <r>
    <s v="ORD783"/>
    <x v="129"/>
    <x v="2"/>
    <x v="2"/>
    <x v="1"/>
    <s v="Kiran"/>
    <n v="8308"/>
    <n v="2"/>
    <n v="10"/>
    <x v="1"/>
    <n v="16616"/>
    <n v="14954.4"/>
  </r>
  <r>
    <s v="ORD785"/>
    <x v="13"/>
    <x v="2"/>
    <x v="4"/>
    <x v="0"/>
    <s v="Rahul"/>
    <n v="28900"/>
    <n v="9"/>
    <n v="11"/>
    <x v="0"/>
    <n v="260100"/>
    <n v="231489"/>
  </r>
  <r>
    <s v="ORD787"/>
    <x v="281"/>
    <x v="0"/>
    <x v="2"/>
    <x v="0"/>
    <s v="Rahul"/>
    <n v="37172"/>
    <n v="7"/>
    <n v="6"/>
    <x v="2"/>
    <n v="260204"/>
    <n v="244591.76"/>
  </r>
  <r>
    <s v="ORD788"/>
    <x v="136"/>
    <x v="2"/>
    <x v="0"/>
    <x v="1"/>
    <s v="Rahul"/>
    <n v="3886"/>
    <n v="8"/>
    <n v="2"/>
    <x v="2"/>
    <n v="31088"/>
    <n v="30466.240000000002"/>
  </r>
  <r>
    <s v="ORD790"/>
    <x v="304"/>
    <x v="0"/>
    <x v="1"/>
    <x v="1"/>
    <s v="Priya"/>
    <n v="15704"/>
    <n v="8"/>
    <n v="13"/>
    <x v="0"/>
    <n v="125632"/>
    <n v="109299.84"/>
  </r>
  <r>
    <s v="ORD791"/>
    <x v="136"/>
    <x v="1"/>
    <x v="3"/>
    <x v="1"/>
    <s v="Priya"/>
    <n v="48340"/>
    <n v="4"/>
    <n v="4"/>
    <x v="1"/>
    <n v="193360"/>
    <n v="185625.60000000001"/>
  </r>
  <r>
    <s v="ORD792"/>
    <x v="104"/>
    <x v="2"/>
    <x v="2"/>
    <x v="0"/>
    <s v="Ravi"/>
    <n v="17556"/>
    <n v="3"/>
    <n v="29"/>
    <x v="2"/>
    <n v="52668"/>
    <n v="37394.28"/>
  </r>
  <r>
    <s v="ORD793"/>
    <x v="282"/>
    <x v="1"/>
    <x v="2"/>
    <x v="1"/>
    <s v="Sneha"/>
    <n v="2705"/>
    <n v="2"/>
    <n v="4"/>
    <x v="2"/>
    <n v="5410"/>
    <n v="5193.6000000000004"/>
  </r>
  <r>
    <s v="ORD794"/>
    <x v="10"/>
    <x v="3"/>
    <x v="0"/>
    <x v="0"/>
    <s v="Rahul"/>
    <n v="29889"/>
    <n v="10"/>
    <n v="5"/>
    <x v="0"/>
    <n v="298890"/>
    <n v="283945.5"/>
  </r>
  <r>
    <s v="ORD795"/>
    <x v="113"/>
    <x v="0"/>
    <x v="3"/>
    <x v="1"/>
    <s v="Rahul"/>
    <n v="1150"/>
    <n v="7"/>
    <n v="25"/>
    <x v="1"/>
    <n v="8050"/>
    <n v="6037.5"/>
  </r>
  <r>
    <s v="ORD796"/>
    <x v="203"/>
    <x v="0"/>
    <x v="2"/>
    <x v="0"/>
    <s v="Amit"/>
    <n v="38266"/>
    <n v="3"/>
    <n v="25"/>
    <x v="1"/>
    <n v="114798"/>
    <n v="86098.5"/>
  </r>
  <r>
    <s v="ORD798"/>
    <x v="181"/>
    <x v="1"/>
    <x v="2"/>
    <x v="0"/>
    <s v="Anjali"/>
    <n v="22061"/>
    <n v="10"/>
    <n v="26"/>
    <x v="1"/>
    <n v="220610"/>
    <n v="163251.4"/>
  </r>
  <r>
    <s v="ORD800"/>
    <x v="185"/>
    <x v="2"/>
    <x v="4"/>
    <x v="1"/>
    <s v="Ravi"/>
    <n v="35934"/>
    <n v="3"/>
    <n v="2"/>
    <x v="2"/>
    <n v="107802"/>
    <n v="105645.96"/>
  </r>
  <r>
    <s v="ORD801"/>
    <x v="77"/>
    <x v="2"/>
    <x v="1"/>
    <x v="0"/>
    <s v="Rahul"/>
    <n v="14585"/>
    <n v="8"/>
    <n v="7"/>
    <x v="1"/>
    <n v="116680"/>
    <n v="108512.4"/>
  </r>
  <r>
    <s v="ORD802"/>
    <x v="305"/>
    <x v="1"/>
    <x v="3"/>
    <x v="0"/>
    <s v="Anjali"/>
    <n v="25118"/>
    <n v="6"/>
    <n v="10"/>
    <x v="0"/>
    <n v="150708"/>
    <n v="135637.20000000001"/>
  </r>
  <r>
    <s v="ORD803"/>
    <x v="47"/>
    <x v="0"/>
    <x v="1"/>
    <x v="1"/>
    <s v="Rahul"/>
    <n v="37070"/>
    <n v="2"/>
    <n v="20"/>
    <x v="2"/>
    <n v="74140"/>
    <n v="59312"/>
  </r>
  <r>
    <s v="ORD804"/>
    <x v="19"/>
    <x v="1"/>
    <x v="4"/>
    <x v="0"/>
    <s v="Sneha"/>
    <n v="24228"/>
    <n v="3"/>
    <n v="19"/>
    <x v="0"/>
    <n v="72684"/>
    <n v="58874.04"/>
  </r>
  <r>
    <s v="ORD805"/>
    <x v="27"/>
    <x v="0"/>
    <x v="0"/>
    <x v="0"/>
    <s v="Anjali"/>
    <n v="17094"/>
    <n v="4"/>
    <n v="15"/>
    <x v="2"/>
    <n v="68376"/>
    <n v="58119.6"/>
  </r>
  <r>
    <s v="ORD806"/>
    <x v="306"/>
    <x v="1"/>
    <x v="0"/>
    <x v="1"/>
    <s v="Rahul"/>
    <n v="12713"/>
    <n v="6"/>
    <n v="22"/>
    <x v="1"/>
    <n v="76278"/>
    <n v="59496.84"/>
  </r>
  <r>
    <s v="ORD808"/>
    <x v="168"/>
    <x v="3"/>
    <x v="0"/>
    <x v="0"/>
    <s v="Kiran"/>
    <n v="37812"/>
    <n v="4"/>
    <n v="24"/>
    <x v="2"/>
    <n v="151248"/>
    <n v="114948.48000000001"/>
  </r>
  <r>
    <s v="ORD811"/>
    <x v="116"/>
    <x v="2"/>
    <x v="0"/>
    <x v="1"/>
    <s v="Ravi"/>
    <n v="35025"/>
    <n v="5"/>
    <n v="9"/>
    <x v="2"/>
    <n v="175125"/>
    <n v="159363.75"/>
  </r>
  <r>
    <s v="ORD812"/>
    <x v="307"/>
    <x v="2"/>
    <x v="0"/>
    <x v="1"/>
    <s v="Sneha"/>
    <n v="47553"/>
    <n v="9"/>
    <n v="6"/>
    <x v="2"/>
    <n v="427977"/>
    <n v="402298.38"/>
  </r>
  <r>
    <s v="ORD813"/>
    <x v="116"/>
    <x v="0"/>
    <x v="3"/>
    <x v="0"/>
    <s v="Kiran"/>
    <n v="5849"/>
    <n v="5"/>
    <n v="25"/>
    <x v="2"/>
    <n v="29245"/>
    <n v="21933.75"/>
  </r>
  <r>
    <s v="ORD814"/>
    <x v="43"/>
    <x v="3"/>
    <x v="0"/>
    <x v="0"/>
    <s v="Amit"/>
    <n v="9988"/>
    <n v="7"/>
    <n v="28"/>
    <x v="2"/>
    <n v="69916"/>
    <n v="50339.520000000004"/>
  </r>
  <r>
    <s v="ORD815"/>
    <x v="165"/>
    <x v="1"/>
    <x v="0"/>
    <x v="1"/>
    <s v="Ravi"/>
    <n v="10535"/>
    <n v="1"/>
    <n v="26"/>
    <x v="2"/>
    <n v="10535"/>
    <n v="7795.9"/>
  </r>
  <r>
    <s v="ORD816"/>
    <x v="60"/>
    <x v="0"/>
    <x v="2"/>
    <x v="1"/>
    <s v="Anjali"/>
    <n v="48265"/>
    <n v="8"/>
    <n v="16"/>
    <x v="1"/>
    <n v="386120"/>
    <n v="324340.8"/>
  </r>
  <r>
    <s v="ORD817"/>
    <x v="177"/>
    <x v="0"/>
    <x v="3"/>
    <x v="1"/>
    <s v="Rahul"/>
    <n v="14864"/>
    <n v="10"/>
    <n v="6"/>
    <x v="0"/>
    <n v="148640"/>
    <n v="139721.60000000001"/>
  </r>
  <r>
    <s v="ORD818"/>
    <x v="197"/>
    <x v="2"/>
    <x v="1"/>
    <x v="1"/>
    <s v="Priya"/>
    <n v="23579"/>
    <n v="2"/>
    <n v="2"/>
    <x v="2"/>
    <n v="47158"/>
    <n v="46214.84"/>
  </r>
  <r>
    <s v="ORD819"/>
    <x v="159"/>
    <x v="3"/>
    <x v="0"/>
    <x v="0"/>
    <s v="Amit"/>
    <n v="31421"/>
    <n v="2"/>
    <n v="25"/>
    <x v="2"/>
    <n v="62842"/>
    <n v="47131.5"/>
  </r>
  <r>
    <s v="ORD820"/>
    <x v="78"/>
    <x v="1"/>
    <x v="1"/>
    <x v="0"/>
    <s v="Priya"/>
    <n v="46348"/>
    <n v="5"/>
    <n v="29"/>
    <x v="2"/>
    <n v="231740"/>
    <n v="164535.4"/>
  </r>
  <r>
    <s v="ORD821"/>
    <x v="77"/>
    <x v="2"/>
    <x v="1"/>
    <x v="1"/>
    <s v="Kiran"/>
    <n v="13976"/>
    <n v="1"/>
    <n v="12"/>
    <x v="1"/>
    <n v="13976"/>
    <n v="12298.880000000001"/>
  </r>
  <r>
    <s v="ORD822"/>
    <x v="228"/>
    <x v="2"/>
    <x v="2"/>
    <x v="1"/>
    <s v="Priya"/>
    <n v="24623"/>
    <n v="8"/>
    <n v="30"/>
    <x v="1"/>
    <n v="196984"/>
    <n v="137888.79999999999"/>
  </r>
  <r>
    <s v="ORD823"/>
    <x v="194"/>
    <x v="2"/>
    <x v="2"/>
    <x v="1"/>
    <s v="Rahul"/>
    <n v="25876"/>
    <n v="1"/>
    <n v="12"/>
    <x v="0"/>
    <n v="25876"/>
    <n v="22770.880000000001"/>
  </r>
  <r>
    <s v="ORD824"/>
    <x v="242"/>
    <x v="0"/>
    <x v="1"/>
    <x v="1"/>
    <s v="Priya"/>
    <n v="6702"/>
    <n v="4"/>
    <n v="24"/>
    <x v="2"/>
    <n v="26808"/>
    <n v="20374.080000000002"/>
  </r>
  <r>
    <s v="ORD825"/>
    <x v="308"/>
    <x v="1"/>
    <x v="4"/>
    <x v="1"/>
    <s v="Priya"/>
    <n v="30517"/>
    <n v="6"/>
    <n v="9"/>
    <x v="2"/>
    <n v="183102"/>
    <n v="166622.82"/>
  </r>
  <r>
    <s v="ORD826"/>
    <x v="122"/>
    <x v="3"/>
    <x v="0"/>
    <x v="0"/>
    <s v="Anjali"/>
    <n v="40376"/>
    <n v="7"/>
    <n v="0"/>
    <x v="1"/>
    <n v="282632"/>
    <n v="282632"/>
  </r>
  <r>
    <s v="ORD827"/>
    <x v="106"/>
    <x v="0"/>
    <x v="0"/>
    <x v="1"/>
    <s v="Amit"/>
    <n v="17469"/>
    <n v="1"/>
    <n v="9"/>
    <x v="1"/>
    <n v="17469"/>
    <n v="15896.79"/>
  </r>
  <r>
    <s v="ORD829"/>
    <x v="309"/>
    <x v="1"/>
    <x v="2"/>
    <x v="0"/>
    <s v="Sneha"/>
    <n v="9088"/>
    <n v="9"/>
    <n v="13"/>
    <x v="1"/>
    <n v="81792"/>
    <n v="71159.040000000008"/>
  </r>
  <r>
    <s v="ORD830"/>
    <x v="89"/>
    <x v="1"/>
    <x v="1"/>
    <x v="1"/>
    <s v="Amit"/>
    <n v="16575"/>
    <n v="1"/>
    <n v="8"/>
    <x v="1"/>
    <n v="16575"/>
    <n v="15249"/>
  </r>
  <r>
    <s v="ORD831"/>
    <x v="15"/>
    <x v="2"/>
    <x v="0"/>
    <x v="0"/>
    <s v="Anjali"/>
    <n v="492"/>
    <n v="2"/>
    <n v="18"/>
    <x v="0"/>
    <n v="984"/>
    <n v="806.88"/>
  </r>
  <r>
    <s v="ORD832"/>
    <x v="286"/>
    <x v="0"/>
    <x v="3"/>
    <x v="0"/>
    <s v="Rahul"/>
    <n v="41650"/>
    <n v="8"/>
    <n v="17"/>
    <x v="0"/>
    <n v="333200"/>
    <n v="276556"/>
  </r>
  <r>
    <s v="ORD833"/>
    <x v="310"/>
    <x v="0"/>
    <x v="0"/>
    <x v="0"/>
    <s v="Kiran"/>
    <n v="23192"/>
    <n v="4"/>
    <n v="30"/>
    <x v="1"/>
    <n v="92768"/>
    <n v="64937.599999999999"/>
  </r>
  <r>
    <s v="ORD834"/>
    <x v="225"/>
    <x v="0"/>
    <x v="3"/>
    <x v="0"/>
    <s v="Priya"/>
    <n v="31391"/>
    <n v="8"/>
    <n v="8"/>
    <x v="1"/>
    <n v="251128"/>
    <n v="231037.76"/>
  </r>
  <r>
    <s v="ORD835"/>
    <x v="169"/>
    <x v="0"/>
    <x v="2"/>
    <x v="1"/>
    <s v="Kiran"/>
    <n v="24506"/>
    <n v="3"/>
    <n v="7"/>
    <x v="0"/>
    <n v="73518"/>
    <n v="68371.740000000005"/>
  </r>
  <r>
    <s v="ORD836"/>
    <x v="77"/>
    <x v="1"/>
    <x v="1"/>
    <x v="1"/>
    <s v="Rahul"/>
    <n v="9613"/>
    <n v="8"/>
    <n v="29"/>
    <x v="2"/>
    <n v="76904"/>
    <n v="54601.84"/>
  </r>
  <r>
    <s v="ORD837"/>
    <x v="311"/>
    <x v="2"/>
    <x v="1"/>
    <x v="0"/>
    <s v="Amit"/>
    <n v="48025"/>
    <n v="3"/>
    <n v="24"/>
    <x v="0"/>
    <n v="144075"/>
    <n v="109497"/>
  </r>
  <r>
    <s v="ORD838"/>
    <x v="312"/>
    <x v="1"/>
    <x v="2"/>
    <x v="0"/>
    <s v="Priya"/>
    <n v="22717"/>
    <n v="8"/>
    <n v="20"/>
    <x v="0"/>
    <n v="181736"/>
    <n v="145388.79999999999"/>
  </r>
  <r>
    <s v="ORD839"/>
    <x v="128"/>
    <x v="2"/>
    <x v="2"/>
    <x v="0"/>
    <s v="Priya"/>
    <n v="32031"/>
    <n v="9"/>
    <n v="30"/>
    <x v="1"/>
    <n v="288279"/>
    <n v="201795.3"/>
  </r>
  <r>
    <s v="ORD840"/>
    <x v="149"/>
    <x v="3"/>
    <x v="2"/>
    <x v="0"/>
    <s v="Amit"/>
    <n v="19116"/>
    <n v="3"/>
    <n v="25"/>
    <x v="1"/>
    <n v="57348"/>
    <n v="43011"/>
  </r>
  <r>
    <s v="ORD842"/>
    <x v="163"/>
    <x v="0"/>
    <x v="1"/>
    <x v="1"/>
    <s v="Sneha"/>
    <n v="25258"/>
    <n v="2"/>
    <n v="10"/>
    <x v="1"/>
    <n v="50516"/>
    <n v="45464.4"/>
  </r>
  <r>
    <s v="ORD843"/>
    <x v="313"/>
    <x v="3"/>
    <x v="4"/>
    <x v="0"/>
    <s v="Ravi"/>
    <n v="43108"/>
    <n v="9"/>
    <n v="20"/>
    <x v="2"/>
    <n v="387972"/>
    <n v="310377.59999999998"/>
  </r>
  <r>
    <s v="ORD844"/>
    <x v="56"/>
    <x v="1"/>
    <x v="4"/>
    <x v="0"/>
    <s v="Sneha"/>
    <n v="19693"/>
    <n v="6"/>
    <n v="15"/>
    <x v="2"/>
    <n v="118158"/>
    <n v="100434.3"/>
  </r>
  <r>
    <s v="ORD845"/>
    <x v="20"/>
    <x v="0"/>
    <x v="4"/>
    <x v="1"/>
    <s v="Rahul"/>
    <n v="7035"/>
    <n v="4"/>
    <n v="19"/>
    <x v="0"/>
    <n v="28140"/>
    <n v="22793.4"/>
  </r>
  <r>
    <s v="ORD846"/>
    <x v="138"/>
    <x v="0"/>
    <x v="0"/>
    <x v="0"/>
    <s v="Rahul"/>
    <n v="12451"/>
    <n v="9"/>
    <n v="12"/>
    <x v="1"/>
    <n v="112059"/>
    <n v="98611.92"/>
  </r>
  <r>
    <s v="ORD847"/>
    <x v="81"/>
    <x v="0"/>
    <x v="4"/>
    <x v="0"/>
    <s v="Priya"/>
    <n v="21191"/>
    <n v="8"/>
    <n v="23"/>
    <x v="2"/>
    <n v="169528"/>
    <n v="130536.56"/>
  </r>
  <r>
    <s v="ORD848"/>
    <x v="106"/>
    <x v="1"/>
    <x v="0"/>
    <x v="1"/>
    <s v="Priya"/>
    <n v="49159"/>
    <n v="6"/>
    <n v="24"/>
    <x v="1"/>
    <n v="294954"/>
    <n v="224165.03999999998"/>
  </r>
  <r>
    <s v="ORD850"/>
    <x v="96"/>
    <x v="1"/>
    <x v="2"/>
    <x v="1"/>
    <s v="Priya"/>
    <n v="40297"/>
    <n v="7"/>
    <n v="23"/>
    <x v="1"/>
    <n v="282079"/>
    <n v="217200.83000000002"/>
  </r>
  <r>
    <s v="ORD852"/>
    <x v="314"/>
    <x v="3"/>
    <x v="3"/>
    <x v="0"/>
    <s v="Anjali"/>
    <n v="31459"/>
    <n v="4"/>
    <n v="0"/>
    <x v="1"/>
    <n v="125836"/>
    <n v="125836"/>
  </r>
  <r>
    <s v="ORD853"/>
    <x v="268"/>
    <x v="2"/>
    <x v="0"/>
    <x v="1"/>
    <s v="Amit"/>
    <n v="18415"/>
    <n v="7"/>
    <n v="0"/>
    <x v="0"/>
    <n v="128905"/>
    <n v="128905"/>
  </r>
  <r>
    <s v="ORD854"/>
    <x v="46"/>
    <x v="0"/>
    <x v="3"/>
    <x v="0"/>
    <s v="Priya"/>
    <n v="39158"/>
    <n v="1"/>
    <n v="19"/>
    <x v="0"/>
    <n v="39158"/>
    <n v="31717.98"/>
  </r>
  <r>
    <s v="ORD855"/>
    <x v="102"/>
    <x v="2"/>
    <x v="3"/>
    <x v="1"/>
    <s v="Kiran"/>
    <n v="38881"/>
    <n v="4"/>
    <n v="23"/>
    <x v="1"/>
    <n v="155524"/>
    <n v="119753.48000000001"/>
  </r>
  <r>
    <s v="ORD856"/>
    <x v="187"/>
    <x v="2"/>
    <x v="1"/>
    <x v="1"/>
    <s v="Kiran"/>
    <n v="6292"/>
    <n v="9"/>
    <n v="0"/>
    <x v="2"/>
    <n v="56628"/>
    <n v="56628"/>
  </r>
  <r>
    <s v="ORD857"/>
    <x v="201"/>
    <x v="0"/>
    <x v="0"/>
    <x v="0"/>
    <s v="Priya"/>
    <n v="7884"/>
    <n v="10"/>
    <n v="5"/>
    <x v="0"/>
    <n v="78840"/>
    <n v="74898"/>
  </r>
  <r>
    <s v="ORD859"/>
    <x v="315"/>
    <x v="0"/>
    <x v="1"/>
    <x v="1"/>
    <s v="Rahul"/>
    <n v="48893"/>
    <n v="2"/>
    <n v="29"/>
    <x v="0"/>
    <n v="97786"/>
    <n v="69428.06"/>
  </r>
  <r>
    <s v="ORD860"/>
    <x v="133"/>
    <x v="3"/>
    <x v="0"/>
    <x v="0"/>
    <s v="Anjali"/>
    <n v="3404"/>
    <n v="4"/>
    <n v="4"/>
    <x v="2"/>
    <n v="13616"/>
    <n v="13071.36"/>
  </r>
  <r>
    <s v="ORD861"/>
    <x v="62"/>
    <x v="0"/>
    <x v="4"/>
    <x v="0"/>
    <s v="Ravi"/>
    <n v="34804"/>
    <n v="6"/>
    <n v="6"/>
    <x v="2"/>
    <n v="208824"/>
    <n v="196294.56"/>
  </r>
  <r>
    <s v="ORD862"/>
    <x v="221"/>
    <x v="1"/>
    <x v="1"/>
    <x v="0"/>
    <s v="Amit"/>
    <n v="17376"/>
    <n v="8"/>
    <n v="24"/>
    <x v="1"/>
    <n v="139008"/>
    <n v="105646.08"/>
  </r>
  <r>
    <s v="ORD863"/>
    <x v="130"/>
    <x v="0"/>
    <x v="0"/>
    <x v="0"/>
    <s v="Priya"/>
    <n v="38411"/>
    <n v="6"/>
    <n v="11"/>
    <x v="0"/>
    <n v="230466"/>
    <n v="205114.74"/>
  </r>
  <r>
    <s v="ORD864"/>
    <x v="316"/>
    <x v="1"/>
    <x v="3"/>
    <x v="0"/>
    <s v="Priya"/>
    <n v="35531"/>
    <n v="9"/>
    <n v="0"/>
    <x v="1"/>
    <n v="319779"/>
    <n v="319779"/>
  </r>
  <r>
    <s v="ORD867"/>
    <x v="16"/>
    <x v="2"/>
    <x v="3"/>
    <x v="0"/>
    <s v="Priya"/>
    <n v="9916"/>
    <n v="6"/>
    <n v="5"/>
    <x v="0"/>
    <n v="59496"/>
    <n v="56521.2"/>
  </r>
  <r>
    <s v="ORD868"/>
    <x v="317"/>
    <x v="1"/>
    <x v="3"/>
    <x v="0"/>
    <s v="Anjali"/>
    <n v="45175"/>
    <n v="7"/>
    <n v="7"/>
    <x v="1"/>
    <n v="316225"/>
    <n v="294089.25"/>
  </r>
  <r>
    <s v="ORD869"/>
    <x v="284"/>
    <x v="1"/>
    <x v="0"/>
    <x v="1"/>
    <s v="Rahul"/>
    <n v="38833"/>
    <n v="6"/>
    <n v="30"/>
    <x v="0"/>
    <n v="232998"/>
    <n v="163098.6"/>
  </r>
  <r>
    <s v="ORD872"/>
    <x v="133"/>
    <x v="2"/>
    <x v="4"/>
    <x v="1"/>
    <s v="Amit"/>
    <n v="17537"/>
    <n v="8"/>
    <n v="0"/>
    <x v="0"/>
    <n v="140296"/>
    <n v="140296"/>
  </r>
  <r>
    <s v="ORD873"/>
    <x v="142"/>
    <x v="1"/>
    <x v="4"/>
    <x v="1"/>
    <s v="Priya"/>
    <n v="42442"/>
    <n v="4"/>
    <n v="17"/>
    <x v="1"/>
    <n v="169768"/>
    <n v="140907.44"/>
  </r>
  <r>
    <s v="ORD874"/>
    <x v="122"/>
    <x v="3"/>
    <x v="3"/>
    <x v="0"/>
    <s v="Ravi"/>
    <n v="3981"/>
    <n v="5"/>
    <n v="20"/>
    <x v="2"/>
    <n v="19905"/>
    <n v="15924"/>
  </r>
  <r>
    <s v="ORD875"/>
    <x v="225"/>
    <x v="0"/>
    <x v="2"/>
    <x v="0"/>
    <s v="Rahul"/>
    <n v="33074"/>
    <n v="10"/>
    <n v="27"/>
    <x v="0"/>
    <n v="330740"/>
    <n v="241440.2"/>
  </r>
  <r>
    <s v="ORD876"/>
    <x v="249"/>
    <x v="1"/>
    <x v="3"/>
    <x v="0"/>
    <s v="Rahul"/>
    <n v="18265"/>
    <n v="4"/>
    <n v="24"/>
    <x v="0"/>
    <n v="73060"/>
    <n v="55525.599999999999"/>
  </r>
  <r>
    <s v="ORD877"/>
    <x v="258"/>
    <x v="0"/>
    <x v="4"/>
    <x v="1"/>
    <s v="Priya"/>
    <n v="32807"/>
    <n v="6"/>
    <n v="22"/>
    <x v="2"/>
    <n v="196842"/>
    <n v="153536.76"/>
  </r>
  <r>
    <s v="ORD878"/>
    <x v="109"/>
    <x v="0"/>
    <x v="4"/>
    <x v="1"/>
    <s v="Sneha"/>
    <n v="45126"/>
    <n v="8"/>
    <n v="28"/>
    <x v="2"/>
    <n v="361008"/>
    <n v="259925.76000000001"/>
  </r>
  <r>
    <s v="ORD879"/>
    <x v="150"/>
    <x v="1"/>
    <x v="3"/>
    <x v="0"/>
    <s v="Rahul"/>
    <n v="18847"/>
    <n v="4"/>
    <n v="3"/>
    <x v="0"/>
    <n v="75388"/>
    <n v="73126.36"/>
  </r>
  <r>
    <s v="ORD881"/>
    <x v="305"/>
    <x v="3"/>
    <x v="1"/>
    <x v="1"/>
    <s v="Sneha"/>
    <n v="37150"/>
    <n v="4"/>
    <n v="17"/>
    <x v="1"/>
    <n v="148600"/>
    <n v="123338"/>
  </r>
  <r>
    <s v="ORD882"/>
    <x v="8"/>
    <x v="3"/>
    <x v="3"/>
    <x v="1"/>
    <s v="Rahul"/>
    <n v="15836"/>
    <n v="1"/>
    <n v="2"/>
    <x v="2"/>
    <n v="15836"/>
    <n v="15519.28"/>
  </r>
  <r>
    <s v="ORD883"/>
    <x v="318"/>
    <x v="1"/>
    <x v="4"/>
    <x v="1"/>
    <s v="Ravi"/>
    <n v="46494"/>
    <n v="10"/>
    <n v="26"/>
    <x v="1"/>
    <n v="464940"/>
    <n v="344055.6"/>
  </r>
  <r>
    <s v="ORD884"/>
    <x v="105"/>
    <x v="2"/>
    <x v="1"/>
    <x v="0"/>
    <s v="Sneha"/>
    <n v="14257"/>
    <n v="10"/>
    <n v="21"/>
    <x v="1"/>
    <n v="142570"/>
    <n v="112630.3"/>
  </r>
  <r>
    <s v="ORD885"/>
    <x v="319"/>
    <x v="1"/>
    <x v="2"/>
    <x v="0"/>
    <s v="Sneha"/>
    <n v="32483"/>
    <n v="7"/>
    <n v="2"/>
    <x v="2"/>
    <n v="227381"/>
    <n v="222833.38"/>
  </r>
  <r>
    <s v="ORD887"/>
    <x v="240"/>
    <x v="0"/>
    <x v="1"/>
    <x v="1"/>
    <s v="Priya"/>
    <n v="8409"/>
    <n v="8"/>
    <n v="13"/>
    <x v="1"/>
    <n v="67272"/>
    <n v="58526.64"/>
  </r>
  <r>
    <s v="ORD888"/>
    <x v="77"/>
    <x v="1"/>
    <x v="1"/>
    <x v="0"/>
    <s v="Sneha"/>
    <n v="10269"/>
    <n v="10"/>
    <n v="15"/>
    <x v="0"/>
    <n v="102690"/>
    <n v="87286.5"/>
  </r>
  <r>
    <s v="ORD889"/>
    <x v="131"/>
    <x v="0"/>
    <x v="1"/>
    <x v="0"/>
    <s v="Kiran"/>
    <n v="18973"/>
    <n v="9"/>
    <n v="2"/>
    <x v="2"/>
    <n v="170757"/>
    <n v="167341.85999999999"/>
  </r>
  <r>
    <s v="ORD890"/>
    <x v="320"/>
    <x v="3"/>
    <x v="0"/>
    <x v="1"/>
    <s v="Priya"/>
    <n v="20448"/>
    <n v="8"/>
    <n v="0"/>
    <x v="1"/>
    <n v="163584"/>
    <n v="163584"/>
  </r>
  <r>
    <s v="ORD891"/>
    <x v="59"/>
    <x v="2"/>
    <x v="4"/>
    <x v="0"/>
    <s v="Amit"/>
    <n v="33125"/>
    <n v="2"/>
    <n v="26"/>
    <x v="0"/>
    <n v="66250"/>
    <n v="49025"/>
  </r>
  <r>
    <s v="ORD892"/>
    <x v="15"/>
    <x v="0"/>
    <x v="3"/>
    <x v="0"/>
    <s v="Priya"/>
    <n v="49478"/>
    <n v="9"/>
    <n v="29"/>
    <x v="0"/>
    <n v="445302"/>
    <n v="316164.42"/>
  </r>
  <r>
    <s v="ORD894"/>
    <x v="225"/>
    <x v="1"/>
    <x v="1"/>
    <x v="0"/>
    <s v="Priya"/>
    <n v="6229"/>
    <n v="1"/>
    <n v="14"/>
    <x v="0"/>
    <n v="6229"/>
    <n v="5356.9400000000005"/>
  </r>
  <r>
    <s v="ORD896"/>
    <x v="34"/>
    <x v="1"/>
    <x v="4"/>
    <x v="1"/>
    <s v="Anjali"/>
    <n v="43137"/>
    <n v="10"/>
    <n v="10"/>
    <x v="2"/>
    <n v="431370"/>
    <n v="388233"/>
  </r>
  <r>
    <s v="ORD898"/>
    <x v="28"/>
    <x v="3"/>
    <x v="3"/>
    <x v="0"/>
    <s v="Amit"/>
    <n v="21740"/>
    <n v="3"/>
    <n v="6"/>
    <x v="1"/>
    <n v="65220"/>
    <n v="61306.8"/>
  </r>
  <r>
    <s v="ORD899"/>
    <x v="321"/>
    <x v="0"/>
    <x v="0"/>
    <x v="0"/>
    <s v="Sneha"/>
    <n v="8337"/>
    <n v="8"/>
    <n v="4"/>
    <x v="0"/>
    <n v="66696"/>
    <n v="64028.160000000003"/>
  </r>
  <r>
    <s v="ORD900"/>
    <x v="292"/>
    <x v="3"/>
    <x v="0"/>
    <x v="0"/>
    <s v="Amit"/>
    <n v="14850"/>
    <n v="4"/>
    <n v="21"/>
    <x v="2"/>
    <n v="59400"/>
    <n v="46926"/>
  </r>
  <r>
    <s v="ORD901"/>
    <x v="73"/>
    <x v="3"/>
    <x v="0"/>
    <x v="1"/>
    <s v="Amit"/>
    <n v="33460"/>
    <n v="9"/>
    <n v="3"/>
    <x v="2"/>
    <n v="301140"/>
    <n v="292105.8"/>
  </r>
  <r>
    <s v="ORD902"/>
    <x v="264"/>
    <x v="1"/>
    <x v="4"/>
    <x v="1"/>
    <s v="Kiran"/>
    <n v="14203"/>
    <n v="7"/>
    <n v="0"/>
    <x v="1"/>
    <n v="99421"/>
    <n v="99421"/>
  </r>
  <r>
    <s v="ORD903"/>
    <x v="130"/>
    <x v="2"/>
    <x v="0"/>
    <x v="1"/>
    <s v="Amit"/>
    <n v="1606"/>
    <n v="5"/>
    <n v="2"/>
    <x v="0"/>
    <n v="8030"/>
    <n v="7869.4"/>
  </r>
  <r>
    <s v="ORD904"/>
    <x v="103"/>
    <x v="1"/>
    <x v="2"/>
    <x v="1"/>
    <s v="Ravi"/>
    <n v="21479"/>
    <n v="10"/>
    <n v="11"/>
    <x v="2"/>
    <n v="214790"/>
    <n v="191163.1"/>
  </r>
  <r>
    <s v="ORD905"/>
    <x v="322"/>
    <x v="3"/>
    <x v="1"/>
    <x v="0"/>
    <s v="Rahul"/>
    <n v="15915"/>
    <n v="6"/>
    <n v="26"/>
    <x v="2"/>
    <n v="95490"/>
    <n v="70662.600000000006"/>
  </r>
  <r>
    <s v="ORD906"/>
    <x v="93"/>
    <x v="2"/>
    <x v="1"/>
    <x v="0"/>
    <s v="Priya"/>
    <n v="17579"/>
    <n v="6"/>
    <n v="13"/>
    <x v="2"/>
    <n v="105474"/>
    <n v="91762.38"/>
  </r>
  <r>
    <s v="ORD908"/>
    <x v="307"/>
    <x v="1"/>
    <x v="4"/>
    <x v="0"/>
    <s v="Ravi"/>
    <n v="33190"/>
    <n v="5"/>
    <n v="26"/>
    <x v="2"/>
    <n v="165950"/>
    <n v="122803"/>
  </r>
  <r>
    <s v="ORD911"/>
    <x v="98"/>
    <x v="0"/>
    <x v="0"/>
    <x v="1"/>
    <s v="Amit"/>
    <n v="31072"/>
    <n v="3"/>
    <n v="10"/>
    <x v="2"/>
    <n v="93216"/>
    <n v="83894.399999999994"/>
  </r>
  <r>
    <s v="ORD913"/>
    <x v="186"/>
    <x v="3"/>
    <x v="0"/>
    <x v="1"/>
    <s v="Priya"/>
    <n v="41458"/>
    <n v="8"/>
    <n v="22"/>
    <x v="0"/>
    <n v="331664"/>
    <n v="258697.91999999998"/>
  </r>
  <r>
    <s v="ORD914"/>
    <x v="29"/>
    <x v="1"/>
    <x v="2"/>
    <x v="1"/>
    <s v="Kiran"/>
    <n v="39288"/>
    <n v="9"/>
    <n v="0"/>
    <x v="2"/>
    <n v="353592"/>
    <n v="353592"/>
  </r>
  <r>
    <s v="ORD915"/>
    <x v="121"/>
    <x v="0"/>
    <x v="1"/>
    <x v="0"/>
    <s v="Sneha"/>
    <n v="265"/>
    <n v="4"/>
    <n v="9"/>
    <x v="1"/>
    <n v="1060"/>
    <n v="964.6"/>
  </r>
  <r>
    <s v="ORD916"/>
    <x v="323"/>
    <x v="3"/>
    <x v="1"/>
    <x v="0"/>
    <s v="Amit"/>
    <n v="31828"/>
    <n v="6"/>
    <n v="21"/>
    <x v="0"/>
    <n v="190968"/>
    <n v="150864.72"/>
  </r>
  <r>
    <s v="ORD917"/>
    <x v="217"/>
    <x v="2"/>
    <x v="2"/>
    <x v="1"/>
    <s v="Amit"/>
    <n v="39359"/>
    <n v="7"/>
    <n v="14"/>
    <x v="0"/>
    <n v="275513"/>
    <n v="236941.18"/>
  </r>
  <r>
    <s v="ORD918"/>
    <x v="274"/>
    <x v="0"/>
    <x v="2"/>
    <x v="1"/>
    <s v="Amit"/>
    <n v="16110"/>
    <n v="2"/>
    <n v="23"/>
    <x v="0"/>
    <n v="32220"/>
    <n v="24809.4"/>
  </r>
  <r>
    <s v="ORD919"/>
    <x v="103"/>
    <x v="1"/>
    <x v="0"/>
    <x v="0"/>
    <s v="Sneha"/>
    <n v="40400"/>
    <n v="2"/>
    <n v="15"/>
    <x v="1"/>
    <n v="80800"/>
    <n v="68680"/>
  </r>
  <r>
    <s v="ORD921"/>
    <x v="315"/>
    <x v="1"/>
    <x v="1"/>
    <x v="0"/>
    <s v="Priya"/>
    <n v="2574"/>
    <n v="5"/>
    <n v="18"/>
    <x v="1"/>
    <n v="12870"/>
    <n v="10553.4"/>
  </r>
  <r>
    <s v="ORD922"/>
    <x v="32"/>
    <x v="3"/>
    <x v="1"/>
    <x v="1"/>
    <s v="Rahul"/>
    <n v="38159"/>
    <n v="4"/>
    <n v="7"/>
    <x v="0"/>
    <n v="152636"/>
    <n v="141951.48000000001"/>
  </r>
  <r>
    <s v="ORD923"/>
    <x v="192"/>
    <x v="2"/>
    <x v="3"/>
    <x v="0"/>
    <s v="Priya"/>
    <n v="49314"/>
    <n v="6"/>
    <n v="28"/>
    <x v="1"/>
    <n v="295884"/>
    <n v="213036.47999999998"/>
  </r>
  <r>
    <s v="ORD924"/>
    <x v="98"/>
    <x v="2"/>
    <x v="2"/>
    <x v="1"/>
    <s v="Ravi"/>
    <n v="16835"/>
    <n v="4"/>
    <n v="3"/>
    <x v="0"/>
    <n v="67340"/>
    <n v="65319.8"/>
  </r>
  <r>
    <s v="ORD925"/>
    <x v="188"/>
    <x v="0"/>
    <x v="2"/>
    <x v="1"/>
    <s v="Rahul"/>
    <n v="49139"/>
    <n v="6"/>
    <n v="7"/>
    <x v="0"/>
    <n v="294834"/>
    <n v="274195.62"/>
  </r>
  <r>
    <s v="ORD926"/>
    <x v="83"/>
    <x v="1"/>
    <x v="2"/>
    <x v="1"/>
    <s v="Sneha"/>
    <n v="29323"/>
    <n v="1"/>
    <n v="27"/>
    <x v="1"/>
    <n v="29323"/>
    <n v="21405.79"/>
  </r>
  <r>
    <s v="ORD927"/>
    <x v="68"/>
    <x v="3"/>
    <x v="4"/>
    <x v="1"/>
    <s v="Amit"/>
    <n v="39809"/>
    <n v="9"/>
    <n v="18"/>
    <x v="2"/>
    <n v="358281"/>
    <n v="293790.42"/>
  </r>
  <r>
    <s v="ORD928"/>
    <x v="0"/>
    <x v="1"/>
    <x v="4"/>
    <x v="1"/>
    <s v="Ravi"/>
    <n v="13618"/>
    <n v="4"/>
    <n v="23"/>
    <x v="0"/>
    <n v="54472"/>
    <n v="41943.44"/>
  </r>
  <r>
    <s v="ORD929"/>
    <x v="296"/>
    <x v="0"/>
    <x v="0"/>
    <x v="0"/>
    <s v="Ravi"/>
    <n v="23062"/>
    <n v="6"/>
    <n v="26"/>
    <x v="0"/>
    <n v="138372"/>
    <n v="102395.28"/>
  </r>
  <r>
    <s v="ORD930"/>
    <x v="90"/>
    <x v="0"/>
    <x v="3"/>
    <x v="0"/>
    <s v="Amit"/>
    <n v="34385"/>
    <n v="6"/>
    <n v="3"/>
    <x v="1"/>
    <n v="206310"/>
    <n v="200120.7"/>
  </r>
  <r>
    <s v="ORD931"/>
    <x v="324"/>
    <x v="1"/>
    <x v="1"/>
    <x v="1"/>
    <s v="Priya"/>
    <n v="29038"/>
    <n v="1"/>
    <n v="13"/>
    <x v="1"/>
    <n v="29038"/>
    <n v="25263.06"/>
  </r>
  <r>
    <s v="ORD932"/>
    <x v="73"/>
    <x v="3"/>
    <x v="2"/>
    <x v="1"/>
    <s v="Priya"/>
    <n v="21192"/>
    <n v="6"/>
    <n v="22"/>
    <x v="1"/>
    <n v="127152"/>
    <n v="99178.559999999998"/>
  </r>
  <r>
    <s v="ORD933"/>
    <x v="197"/>
    <x v="2"/>
    <x v="1"/>
    <x v="1"/>
    <s v="Rahul"/>
    <n v="43672"/>
    <n v="1"/>
    <n v="5"/>
    <x v="0"/>
    <n v="43672"/>
    <n v="41488.400000000001"/>
  </r>
  <r>
    <s v="ORD935"/>
    <x v="95"/>
    <x v="3"/>
    <x v="1"/>
    <x v="0"/>
    <s v="Sneha"/>
    <n v="9243"/>
    <n v="10"/>
    <n v="5"/>
    <x v="2"/>
    <n v="92430"/>
    <n v="87808.5"/>
  </r>
  <r>
    <s v="ORD936"/>
    <x v="11"/>
    <x v="0"/>
    <x v="0"/>
    <x v="0"/>
    <s v="Kiran"/>
    <n v="27992"/>
    <n v="9"/>
    <n v="7"/>
    <x v="1"/>
    <n v="251928"/>
    <n v="234293.04"/>
  </r>
  <r>
    <s v="ORD937"/>
    <x v="149"/>
    <x v="2"/>
    <x v="2"/>
    <x v="1"/>
    <s v="Ravi"/>
    <n v="17087"/>
    <n v="5"/>
    <n v="21"/>
    <x v="0"/>
    <n v="85435"/>
    <n v="67493.649999999994"/>
  </r>
  <r>
    <s v="ORD939"/>
    <x v="61"/>
    <x v="2"/>
    <x v="4"/>
    <x v="0"/>
    <s v="Rahul"/>
    <n v="17056"/>
    <n v="10"/>
    <n v="7"/>
    <x v="2"/>
    <n v="170560"/>
    <n v="158620.79999999999"/>
  </r>
  <r>
    <s v="ORD940"/>
    <x v="235"/>
    <x v="3"/>
    <x v="2"/>
    <x v="0"/>
    <s v="Priya"/>
    <n v="31452"/>
    <n v="8"/>
    <n v="22"/>
    <x v="1"/>
    <n v="251616"/>
    <n v="196260.48000000001"/>
  </r>
  <r>
    <s v="ORD941"/>
    <x v="174"/>
    <x v="2"/>
    <x v="3"/>
    <x v="0"/>
    <s v="Sneha"/>
    <n v="16180"/>
    <n v="5"/>
    <n v="26"/>
    <x v="0"/>
    <n v="80900"/>
    <n v="59866"/>
  </r>
  <r>
    <s v="ORD944"/>
    <x v="107"/>
    <x v="3"/>
    <x v="1"/>
    <x v="0"/>
    <s v="Sneha"/>
    <n v="32289"/>
    <n v="7"/>
    <n v="16"/>
    <x v="2"/>
    <n v="226023"/>
    <n v="189859.32"/>
  </r>
  <r>
    <s v="ORD946"/>
    <x v="204"/>
    <x v="2"/>
    <x v="2"/>
    <x v="0"/>
    <s v="Anjali"/>
    <n v="44007"/>
    <n v="5"/>
    <n v="14"/>
    <x v="0"/>
    <n v="220035"/>
    <n v="189230.1"/>
  </r>
  <r>
    <s v="ORD947"/>
    <x v="228"/>
    <x v="1"/>
    <x v="2"/>
    <x v="0"/>
    <s v="Kiran"/>
    <n v="47857"/>
    <n v="2"/>
    <n v="5"/>
    <x v="1"/>
    <n v="95714"/>
    <n v="90928.3"/>
  </r>
  <r>
    <s v="ORD948"/>
    <x v="325"/>
    <x v="1"/>
    <x v="3"/>
    <x v="1"/>
    <s v="Sneha"/>
    <n v="9660"/>
    <n v="2"/>
    <n v="17"/>
    <x v="0"/>
    <n v="19320"/>
    <n v="16035.6"/>
  </r>
  <r>
    <s v="ORD949"/>
    <x v="239"/>
    <x v="1"/>
    <x v="0"/>
    <x v="1"/>
    <s v="Sneha"/>
    <n v="37087"/>
    <n v="5"/>
    <n v="18"/>
    <x v="1"/>
    <n v="185435"/>
    <n v="152056.70000000001"/>
  </r>
  <r>
    <s v="ORD950"/>
    <x v="322"/>
    <x v="0"/>
    <x v="1"/>
    <x v="1"/>
    <s v="Kiran"/>
    <n v="44419"/>
    <n v="6"/>
    <n v="8"/>
    <x v="1"/>
    <n v="266514"/>
    <n v="245192.88"/>
  </r>
  <r>
    <s v="ORD951"/>
    <x v="278"/>
    <x v="0"/>
    <x v="1"/>
    <x v="1"/>
    <s v="Rahul"/>
    <n v="5154"/>
    <n v="8"/>
    <n v="28"/>
    <x v="0"/>
    <n v="41232"/>
    <n v="29687.040000000001"/>
  </r>
  <r>
    <s v="ORD952"/>
    <x v="147"/>
    <x v="0"/>
    <x v="1"/>
    <x v="1"/>
    <s v="Ravi"/>
    <n v="5401"/>
    <n v="7"/>
    <n v="20"/>
    <x v="2"/>
    <n v="37807"/>
    <n v="30245.599999999999"/>
  </r>
  <r>
    <s v="ORD953"/>
    <x v="27"/>
    <x v="1"/>
    <x v="3"/>
    <x v="0"/>
    <s v="Amit"/>
    <n v="20101"/>
    <n v="2"/>
    <n v="0"/>
    <x v="0"/>
    <n v="40202"/>
    <n v="40202"/>
  </r>
  <r>
    <s v="ORD954"/>
    <x v="138"/>
    <x v="1"/>
    <x v="1"/>
    <x v="0"/>
    <s v="Ravi"/>
    <n v="6013"/>
    <n v="8"/>
    <n v="1"/>
    <x v="2"/>
    <n v="48104"/>
    <n v="47622.96"/>
  </r>
  <r>
    <s v="ORD955"/>
    <x v="266"/>
    <x v="1"/>
    <x v="4"/>
    <x v="1"/>
    <s v="Amit"/>
    <n v="17886"/>
    <n v="9"/>
    <n v="10"/>
    <x v="1"/>
    <n v="160974"/>
    <n v="144876.6"/>
  </r>
  <r>
    <s v="ORD956"/>
    <x v="207"/>
    <x v="3"/>
    <x v="1"/>
    <x v="1"/>
    <s v="Ravi"/>
    <n v="37024"/>
    <n v="5"/>
    <n v="12"/>
    <x v="2"/>
    <n v="185120"/>
    <n v="162905.60000000001"/>
  </r>
  <r>
    <s v="ORD960"/>
    <x v="107"/>
    <x v="2"/>
    <x v="0"/>
    <x v="0"/>
    <s v="Anjali"/>
    <n v="45253"/>
    <n v="8"/>
    <n v="8"/>
    <x v="1"/>
    <n v="362024"/>
    <n v="333062.08"/>
  </r>
  <r>
    <s v="ORD961"/>
    <x v="256"/>
    <x v="3"/>
    <x v="0"/>
    <x v="1"/>
    <s v="Priya"/>
    <n v="47967"/>
    <n v="10"/>
    <n v="18"/>
    <x v="1"/>
    <n v="479670"/>
    <n v="393329.4"/>
  </r>
  <r>
    <s v="ORD964"/>
    <x v="161"/>
    <x v="3"/>
    <x v="3"/>
    <x v="0"/>
    <s v="Rahul"/>
    <n v="41615"/>
    <n v="4"/>
    <n v="9"/>
    <x v="2"/>
    <n v="166460"/>
    <n v="151478.6"/>
  </r>
  <r>
    <s v="ORD965"/>
    <x v="183"/>
    <x v="1"/>
    <x v="3"/>
    <x v="0"/>
    <s v="Ravi"/>
    <n v="2166"/>
    <n v="6"/>
    <n v="23"/>
    <x v="1"/>
    <n v="12996"/>
    <n v="10006.92"/>
  </r>
  <r>
    <s v="ORD967"/>
    <x v="326"/>
    <x v="1"/>
    <x v="2"/>
    <x v="1"/>
    <s v="Kiran"/>
    <n v="43956"/>
    <n v="4"/>
    <n v="20"/>
    <x v="2"/>
    <n v="175824"/>
    <n v="140659.20000000001"/>
  </r>
  <r>
    <s v="ORD968"/>
    <x v="284"/>
    <x v="2"/>
    <x v="3"/>
    <x v="1"/>
    <s v="Anjali"/>
    <n v="4897"/>
    <n v="3"/>
    <n v="23"/>
    <x v="0"/>
    <n v="14691"/>
    <n v="11312.07"/>
  </r>
  <r>
    <s v="ORD969"/>
    <x v="129"/>
    <x v="1"/>
    <x v="3"/>
    <x v="0"/>
    <s v="Amit"/>
    <n v="20731"/>
    <n v="3"/>
    <n v="22"/>
    <x v="0"/>
    <n v="62193"/>
    <n v="48510.54"/>
  </r>
  <r>
    <s v="ORD971"/>
    <x v="258"/>
    <x v="0"/>
    <x v="4"/>
    <x v="1"/>
    <s v="Sneha"/>
    <n v="48778"/>
    <n v="1"/>
    <n v="22"/>
    <x v="0"/>
    <n v="48778"/>
    <n v="38046.839999999997"/>
  </r>
  <r>
    <s v="ORD972"/>
    <x v="84"/>
    <x v="1"/>
    <x v="1"/>
    <x v="1"/>
    <s v="Ravi"/>
    <n v="44226"/>
    <n v="3"/>
    <n v="28"/>
    <x v="0"/>
    <n v="132678"/>
    <n v="95528.16"/>
  </r>
  <r>
    <s v="ORD974"/>
    <x v="327"/>
    <x v="2"/>
    <x v="2"/>
    <x v="0"/>
    <s v="Amit"/>
    <n v="35721"/>
    <n v="6"/>
    <n v="24"/>
    <x v="2"/>
    <n v="214326"/>
    <n v="162887.76"/>
  </r>
  <r>
    <s v="ORD975"/>
    <x v="179"/>
    <x v="1"/>
    <x v="0"/>
    <x v="1"/>
    <s v="Sneha"/>
    <n v="36273"/>
    <n v="8"/>
    <n v="27"/>
    <x v="2"/>
    <n v="290184"/>
    <n v="211834.32"/>
  </r>
  <r>
    <s v="ORD976"/>
    <x v="328"/>
    <x v="2"/>
    <x v="1"/>
    <x v="1"/>
    <s v="Rahul"/>
    <n v="18165"/>
    <n v="7"/>
    <n v="1"/>
    <x v="0"/>
    <n v="127155"/>
    <n v="125883.45"/>
  </r>
  <r>
    <s v="ORD978"/>
    <x v="86"/>
    <x v="3"/>
    <x v="0"/>
    <x v="0"/>
    <s v="Priya"/>
    <n v="4636"/>
    <n v="8"/>
    <n v="10"/>
    <x v="2"/>
    <n v="37088"/>
    <n v="33379.199999999997"/>
  </r>
  <r>
    <s v="ORD979"/>
    <x v="17"/>
    <x v="2"/>
    <x v="0"/>
    <x v="0"/>
    <s v="Rahul"/>
    <n v="48256"/>
    <n v="4"/>
    <n v="24"/>
    <x v="2"/>
    <n v="193024"/>
    <n v="146698.23999999999"/>
  </r>
  <r>
    <s v="ORD980"/>
    <x v="185"/>
    <x v="1"/>
    <x v="3"/>
    <x v="1"/>
    <s v="Rahul"/>
    <n v="2859"/>
    <n v="3"/>
    <n v="2"/>
    <x v="2"/>
    <n v="8577"/>
    <n v="8405.4599999999991"/>
  </r>
  <r>
    <s v="ORD981"/>
    <x v="103"/>
    <x v="1"/>
    <x v="4"/>
    <x v="1"/>
    <s v="Amit"/>
    <n v="31994"/>
    <n v="2"/>
    <n v="26"/>
    <x v="0"/>
    <n v="63988"/>
    <n v="47351.119999999995"/>
  </r>
  <r>
    <s v="ORD982"/>
    <x v="262"/>
    <x v="2"/>
    <x v="2"/>
    <x v="1"/>
    <s v="Kiran"/>
    <n v="32429"/>
    <n v="8"/>
    <n v="14"/>
    <x v="0"/>
    <n v="259432"/>
    <n v="223111.52"/>
  </r>
  <r>
    <s v="ORD983"/>
    <x v="99"/>
    <x v="0"/>
    <x v="4"/>
    <x v="0"/>
    <s v="Anjali"/>
    <n v="49103"/>
    <n v="5"/>
    <n v="0"/>
    <x v="2"/>
    <n v="245515"/>
    <n v="245515"/>
  </r>
  <r>
    <s v="ORD984"/>
    <x v="284"/>
    <x v="1"/>
    <x v="3"/>
    <x v="0"/>
    <s v="Ravi"/>
    <n v="2792"/>
    <n v="4"/>
    <n v="19"/>
    <x v="0"/>
    <n v="11168"/>
    <n v="9046.08"/>
  </r>
  <r>
    <s v="ORD985"/>
    <x v="251"/>
    <x v="3"/>
    <x v="4"/>
    <x v="1"/>
    <s v="Ravi"/>
    <n v="27293"/>
    <n v="10"/>
    <n v="17"/>
    <x v="1"/>
    <n v="272930"/>
    <n v="226531.9"/>
  </r>
  <r>
    <s v="ORD986"/>
    <x v="60"/>
    <x v="0"/>
    <x v="1"/>
    <x v="0"/>
    <s v="Rahul"/>
    <n v="10752"/>
    <n v="3"/>
    <n v="1"/>
    <x v="2"/>
    <n v="32256"/>
    <n v="31933.439999999999"/>
  </r>
  <r>
    <s v="ORD987"/>
    <x v="60"/>
    <x v="1"/>
    <x v="1"/>
    <x v="0"/>
    <s v="Amit"/>
    <n v="9915"/>
    <n v="4"/>
    <n v="20"/>
    <x v="0"/>
    <n v="39660"/>
    <n v="31728"/>
  </r>
  <r>
    <s v="ORD988"/>
    <x v="119"/>
    <x v="1"/>
    <x v="0"/>
    <x v="0"/>
    <s v="Ravi"/>
    <n v="813"/>
    <n v="1"/>
    <n v="22"/>
    <x v="2"/>
    <n v="813"/>
    <n v="634.14"/>
  </r>
  <r>
    <s v="ORD989"/>
    <x v="300"/>
    <x v="1"/>
    <x v="3"/>
    <x v="0"/>
    <s v="Sneha"/>
    <n v="35930"/>
    <n v="7"/>
    <n v="15"/>
    <x v="0"/>
    <n v="251510"/>
    <n v="213783.5"/>
  </r>
  <r>
    <s v="ORD991"/>
    <x v="181"/>
    <x v="2"/>
    <x v="1"/>
    <x v="1"/>
    <s v="Kiran"/>
    <n v="21380"/>
    <n v="3"/>
    <n v="0"/>
    <x v="1"/>
    <n v="64140"/>
    <n v="64140"/>
  </r>
  <r>
    <s v="ORD992"/>
    <x v="185"/>
    <x v="3"/>
    <x v="4"/>
    <x v="1"/>
    <s v="Kiran"/>
    <n v="40094"/>
    <n v="5"/>
    <n v="13"/>
    <x v="2"/>
    <n v="200470"/>
    <n v="174408.9"/>
  </r>
  <r>
    <s v="ORD993"/>
    <x v="24"/>
    <x v="2"/>
    <x v="3"/>
    <x v="0"/>
    <s v="Amit"/>
    <n v="27700"/>
    <n v="4"/>
    <n v="21"/>
    <x v="2"/>
    <n v="110800"/>
    <n v="87532"/>
  </r>
  <r>
    <s v="ORD995"/>
    <x v="127"/>
    <x v="1"/>
    <x v="3"/>
    <x v="1"/>
    <s v="Anjali"/>
    <n v="39307"/>
    <n v="5"/>
    <n v="20"/>
    <x v="0"/>
    <n v="196535"/>
    <n v="157228"/>
  </r>
  <r>
    <s v="ORD996"/>
    <x v="329"/>
    <x v="1"/>
    <x v="1"/>
    <x v="0"/>
    <s v="Rahul"/>
    <n v="33145"/>
    <n v="4"/>
    <n v="15"/>
    <x v="1"/>
    <n v="132580"/>
    <n v="112693"/>
  </r>
  <r>
    <s v="ORD997"/>
    <x v="323"/>
    <x v="3"/>
    <x v="3"/>
    <x v="1"/>
    <s v="Ravi"/>
    <n v="17962"/>
    <n v="6"/>
    <n v="8"/>
    <x v="1"/>
    <n v="107772"/>
    <n v="99150.24"/>
  </r>
  <r>
    <s v="ORD998"/>
    <x v="273"/>
    <x v="3"/>
    <x v="0"/>
    <x v="1"/>
    <s v="Ravi"/>
    <n v="17828"/>
    <n v="4"/>
    <n v="9"/>
    <x v="1"/>
    <n v="71312"/>
    <n v="64893.919999999998"/>
  </r>
  <r>
    <s v="ORD999"/>
    <x v="33"/>
    <x v="3"/>
    <x v="0"/>
    <x v="0"/>
    <s v="Anjali"/>
    <n v="14681"/>
    <n v="10"/>
    <n v="26"/>
    <x v="1"/>
    <n v="146810"/>
    <n v="108639.4"/>
  </r>
  <r>
    <s v="ORD1000"/>
    <x v="330"/>
    <x v="1"/>
    <x v="4"/>
    <x v="0"/>
    <s v="Anjali"/>
    <n v="3705"/>
    <n v="10"/>
    <n v="17"/>
    <x v="2"/>
    <n v="37050"/>
    <n v="30751.5"/>
  </r>
  <r>
    <s v="ORD1001"/>
    <x v="161"/>
    <x v="1"/>
    <x v="3"/>
    <x v="1"/>
    <s v="Kiran"/>
    <n v="14803"/>
    <n v="7"/>
    <n v="8"/>
    <x v="1"/>
    <n v="103621"/>
    <n v="95331.32"/>
  </r>
  <r>
    <s v="ORD1002"/>
    <x v="303"/>
    <x v="0"/>
    <x v="0"/>
    <x v="1"/>
    <s v="Priya"/>
    <n v="8462"/>
    <n v="4"/>
    <n v="18"/>
    <x v="0"/>
    <n v="33848"/>
    <n v="27755.360000000001"/>
  </r>
  <r>
    <s v="ORD1004"/>
    <x v="93"/>
    <x v="1"/>
    <x v="4"/>
    <x v="0"/>
    <s v="Kiran"/>
    <n v="37874"/>
    <n v="1"/>
    <n v="10"/>
    <x v="0"/>
    <n v="37874"/>
    <n v="34086.6"/>
  </r>
  <r>
    <s v="ORD1005"/>
    <x v="184"/>
    <x v="1"/>
    <x v="4"/>
    <x v="1"/>
    <s v="Amit"/>
    <n v="13856"/>
    <n v="8"/>
    <n v="19"/>
    <x v="1"/>
    <n v="110848"/>
    <n v="89786.880000000005"/>
  </r>
  <r>
    <s v="ORD1006"/>
    <x v="324"/>
    <x v="1"/>
    <x v="3"/>
    <x v="1"/>
    <s v="Ravi"/>
    <n v="6429"/>
    <n v="6"/>
    <n v="22"/>
    <x v="0"/>
    <n v="38574"/>
    <n v="30087.72"/>
  </r>
  <r>
    <s v="ORD1007"/>
    <x v="89"/>
    <x v="0"/>
    <x v="2"/>
    <x v="0"/>
    <s v="Sneha"/>
    <n v="44634"/>
    <n v="3"/>
    <n v="13"/>
    <x v="0"/>
    <n v="133902"/>
    <n v="116494.74"/>
  </r>
  <r>
    <s v="ORD1008"/>
    <x v="86"/>
    <x v="3"/>
    <x v="4"/>
    <x v="1"/>
    <s v="Amit"/>
    <n v="3353"/>
    <n v="3"/>
    <n v="25"/>
    <x v="1"/>
    <n v="10059"/>
    <n v="7544.25"/>
  </r>
  <r>
    <s v="ORD1009"/>
    <x v="238"/>
    <x v="3"/>
    <x v="2"/>
    <x v="0"/>
    <s v="Anjali"/>
    <n v="42740"/>
    <n v="8"/>
    <n v="3"/>
    <x v="2"/>
    <n v="341920"/>
    <n v="331662.40000000002"/>
  </r>
  <r>
    <s v="ORD1010"/>
    <x v="84"/>
    <x v="0"/>
    <x v="0"/>
    <x v="0"/>
    <s v="Priya"/>
    <n v="44359"/>
    <n v="1"/>
    <n v="21"/>
    <x v="1"/>
    <n v="44359"/>
    <n v="35043.61"/>
  </r>
  <r>
    <s v="ORD1011"/>
    <x v="149"/>
    <x v="0"/>
    <x v="3"/>
    <x v="1"/>
    <s v="Sneha"/>
    <n v="47001"/>
    <n v="1"/>
    <n v="23"/>
    <x v="2"/>
    <n v="47001"/>
    <n v="36190.770000000004"/>
  </r>
  <r>
    <s v="ORD1012"/>
    <x v="252"/>
    <x v="1"/>
    <x v="3"/>
    <x v="0"/>
    <s v="Amit"/>
    <n v="45329"/>
    <n v="9"/>
    <n v="24"/>
    <x v="1"/>
    <n v="407961"/>
    <n v="310050.36"/>
  </r>
  <r>
    <s v="ORD1013"/>
    <x v="118"/>
    <x v="1"/>
    <x v="4"/>
    <x v="1"/>
    <s v="Rahul"/>
    <n v="8055"/>
    <n v="4"/>
    <n v="25"/>
    <x v="2"/>
    <n v="32220"/>
    <n v="24165"/>
  </r>
  <r>
    <s v="ORD1015"/>
    <x v="331"/>
    <x v="0"/>
    <x v="3"/>
    <x v="0"/>
    <s v="Rahul"/>
    <n v="32812"/>
    <n v="3"/>
    <n v="9"/>
    <x v="1"/>
    <n v="98436"/>
    <n v="89576.76"/>
  </r>
  <r>
    <s v="ORD1016"/>
    <x v="227"/>
    <x v="0"/>
    <x v="0"/>
    <x v="0"/>
    <s v="Ravi"/>
    <n v="25752"/>
    <n v="8"/>
    <n v="14"/>
    <x v="2"/>
    <n v="206016"/>
    <n v="177173.76000000001"/>
  </r>
  <r>
    <s v="ORD1017"/>
    <x v="263"/>
    <x v="2"/>
    <x v="2"/>
    <x v="0"/>
    <s v="Amit"/>
    <n v="25450"/>
    <n v="2"/>
    <n v="16"/>
    <x v="0"/>
    <n v="50900"/>
    <n v="42756"/>
  </r>
  <r>
    <s v="ORD1018"/>
    <x v="52"/>
    <x v="0"/>
    <x v="3"/>
    <x v="0"/>
    <s v="Kiran"/>
    <n v="39111"/>
    <n v="8"/>
    <n v="8"/>
    <x v="1"/>
    <n v="312888"/>
    <n v="287856.96000000002"/>
  </r>
  <r>
    <s v="ORD1019"/>
    <x v="226"/>
    <x v="0"/>
    <x v="3"/>
    <x v="0"/>
    <s v="Amit"/>
    <n v="16856"/>
    <n v="5"/>
    <n v="8"/>
    <x v="0"/>
    <n v="84280"/>
    <n v="77537.600000000006"/>
  </r>
  <r>
    <s v="ORD1020"/>
    <x v="269"/>
    <x v="0"/>
    <x v="3"/>
    <x v="1"/>
    <s v="Sneha"/>
    <n v="45375"/>
    <n v="6"/>
    <n v="4"/>
    <x v="1"/>
    <n v="272250"/>
    <n v="261360"/>
  </r>
  <r>
    <s v="ORD1021"/>
    <x v="5"/>
    <x v="1"/>
    <x v="0"/>
    <x v="0"/>
    <s v="Ravi"/>
    <n v="41529"/>
    <n v="6"/>
    <n v="11"/>
    <x v="2"/>
    <n v="249174"/>
    <n v="221764.86"/>
  </r>
  <r>
    <s v="ORD1022"/>
    <x v="332"/>
    <x v="1"/>
    <x v="2"/>
    <x v="1"/>
    <s v="Rahul"/>
    <n v="33292"/>
    <n v="8"/>
    <n v="15"/>
    <x v="2"/>
    <n v="266336"/>
    <n v="226385.6"/>
  </r>
  <r>
    <s v="ORD1023"/>
    <x v="306"/>
    <x v="3"/>
    <x v="3"/>
    <x v="0"/>
    <s v="Amit"/>
    <n v="19581"/>
    <n v="4"/>
    <n v="30"/>
    <x v="1"/>
    <n v="78324"/>
    <n v="54826.8"/>
  </r>
  <r>
    <s v="ORD1024"/>
    <x v="297"/>
    <x v="1"/>
    <x v="1"/>
    <x v="1"/>
    <s v="Ravi"/>
    <n v="9954"/>
    <n v="6"/>
    <n v="9"/>
    <x v="1"/>
    <n v="59724"/>
    <n v="54348.84"/>
  </r>
  <r>
    <s v="ORD1025"/>
    <x v="333"/>
    <x v="1"/>
    <x v="3"/>
    <x v="0"/>
    <s v="Ravi"/>
    <n v="31834"/>
    <n v="10"/>
    <n v="23"/>
    <x v="2"/>
    <n v="318340"/>
    <n v="245121.8"/>
  </r>
  <r>
    <s v="ORD1026"/>
    <x v="295"/>
    <x v="3"/>
    <x v="1"/>
    <x v="0"/>
    <s v="Amit"/>
    <n v="47346"/>
    <n v="5"/>
    <n v="29"/>
    <x v="0"/>
    <n v="236730"/>
    <n v="168078.3"/>
  </r>
  <r>
    <s v="ORD1027"/>
    <x v="322"/>
    <x v="0"/>
    <x v="2"/>
    <x v="1"/>
    <s v="Kiran"/>
    <n v="42414"/>
    <n v="4"/>
    <n v="0"/>
    <x v="0"/>
    <n v="169656"/>
    <n v="169656"/>
  </r>
  <r>
    <s v="ORD1028"/>
    <x v="334"/>
    <x v="0"/>
    <x v="2"/>
    <x v="0"/>
    <s v="Anjali"/>
    <n v="2276"/>
    <n v="1"/>
    <n v="10"/>
    <x v="2"/>
    <n v="2276"/>
    <n v="2048.4"/>
  </r>
  <r>
    <s v="ORD1029"/>
    <x v="265"/>
    <x v="0"/>
    <x v="2"/>
    <x v="1"/>
    <s v="Kiran"/>
    <n v="43739"/>
    <n v="8"/>
    <n v="10"/>
    <x v="1"/>
    <n v="349912"/>
    <n v="314920.8"/>
  </r>
  <r>
    <s v="ORD1030"/>
    <x v="126"/>
    <x v="1"/>
    <x v="3"/>
    <x v="1"/>
    <s v="Amit"/>
    <n v="6913"/>
    <n v="1"/>
    <n v="18"/>
    <x v="0"/>
    <n v="6913"/>
    <n v="5668.66"/>
  </r>
  <r>
    <s v="ORD1031"/>
    <x v="233"/>
    <x v="1"/>
    <x v="3"/>
    <x v="1"/>
    <s v="Amit"/>
    <n v="38926"/>
    <n v="2"/>
    <n v="10"/>
    <x v="2"/>
    <n v="77852"/>
    <n v="70066.8"/>
  </r>
  <r>
    <s v="ORD1032"/>
    <x v="230"/>
    <x v="1"/>
    <x v="1"/>
    <x v="1"/>
    <s v="Amit"/>
    <n v="24414"/>
    <n v="3"/>
    <n v="27"/>
    <x v="0"/>
    <n v="73242"/>
    <n v="53466.66"/>
  </r>
  <r>
    <s v="ORD1033"/>
    <x v="250"/>
    <x v="2"/>
    <x v="3"/>
    <x v="0"/>
    <s v="Sneha"/>
    <n v="42877"/>
    <n v="8"/>
    <n v="9"/>
    <x v="1"/>
    <n v="343016"/>
    <n v="312144.56"/>
  </r>
  <r>
    <s v="ORD1034"/>
    <x v="208"/>
    <x v="2"/>
    <x v="0"/>
    <x v="1"/>
    <s v="Sneha"/>
    <n v="39049"/>
    <n v="10"/>
    <n v="1"/>
    <x v="0"/>
    <n v="390490"/>
    <n v="386585.1"/>
  </r>
  <r>
    <s v="ORD1035"/>
    <x v="223"/>
    <x v="3"/>
    <x v="0"/>
    <x v="0"/>
    <s v="Amit"/>
    <n v="24829"/>
    <n v="3"/>
    <n v="5"/>
    <x v="2"/>
    <n v="74487"/>
    <n v="70762.649999999994"/>
  </r>
  <r>
    <s v="ORD1036"/>
    <x v="319"/>
    <x v="3"/>
    <x v="2"/>
    <x v="0"/>
    <s v="Rahul"/>
    <n v="3234"/>
    <n v="9"/>
    <n v="29"/>
    <x v="1"/>
    <n v="29106"/>
    <n v="20665.260000000002"/>
  </r>
  <r>
    <s v="ORD1038"/>
    <x v="87"/>
    <x v="3"/>
    <x v="4"/>
    <x v="0"/>
    <s v="Sneha"/>
    <n v="35152"/>
    <n v="5"/>
    <n v="2"/>
    <x v="2"/>
    <n v="175760"/>
    <n v="172244.8"/>
  </r>
  <r>
    <s v="ORD1039"/>
    <x v="23"/>
    <x v="0"/>
    <x v="1"/>
    <x v="1"/>
    <s v="Kiran"/>
    <n v="46205"/>
    <n v="1"/>
    <n v="18"/>
    <x v="2"/>
    <n v="46205"/>
    <n v="37888.1"/>
  </r>
  <r>
    <s v="ORD1041"/>
    <x v="285"/>
    <x v="3"/>
    <x v="0"/>
    <x v="1"/>
    <s v="Amit"/>
    <n v="49795"/>
    <n v="6"/>
    <n v="1"/>
    <x v="2"/>
    <n v="298770"/>
    <n v="295782.3"/>
  </r>
  <r>
    <s v="ORD1042"/>
    <x v="286"/>
    <x v="1"/>
    <x v="2"/>
    <x v="1"/>
    <s v="Kiran"/>
    <n v="19828"/>
    <n v="9"/>
    <n v="12"/>
    <x v="1"/>
    <n v="178452"/>
    <n v="157037.76000000001"/>
  </r>
  <r>
    <s v="ORD1044"/>
    <x v="14"/>
    <x v="3"/>
    <x v="4"/>
    <x v="0"/>
    <s v="Priya"/>
    <n v="22473"/>
    <n v="10"/>
    <n v="29"/>
    <x v="0"/>
    <n v="224730"/>
    <n v="159558.29999999999"/>
  </r>
  <r>
    <s v="ORD1045"/>
    <x v="46"/>
    <x v="1"/>
    <x v="1"/>
    <x v="1"/>
    <s v="Ravi"/>
    <n v="8259"/>
    <n v="8"/>
    <n v="5"/>
    <x v="0"/>
    <n v="66072"/>
    <n v="62768.4"/>
  </r>
  <r>
    <s v="ORD1046"/>
    <x v="146"/>
    <x v="0"/>
    <x v="0"/>
    <x v="0"/>
    <s v="Rahul"/>
    <n v="26264"/>
    <n v="10"/>
    <n v="25"/>
    <x v="0"/>
    <n v="262640"/>
    <n v="196980"/>
  </r>
  <r>
    <s v="ORD1047"/>
    <x v="335"/>
    <x v="1"/>
    <x v="2"/>
    <x v="1"/>
    <s v="Amit"/>
    <n v="11904"/>
    <n v="6"/>
    <n v="20"/>
    <x v="2"/>
    <n v="71424"/>
    <n v="57139.199999999997"/>
  </r>
  <r>
    <s v="ORD1048"/>
    <x v="199"/>
    <x v="2"/>
    <x v="0"/>
    <x v="0"/>
    <s v="Priya"/>
    <n v="14877"/>
    <n v="7"/>
    <n v="24"/>
    <x v="0"/>
    <n v="104139"/>
    <n v="79145.64"/>
  </r>
  <r>
    <s v="ORD1049"/>
    <x v="301"/>
    <x v="2"/>
    <x v="4"/>
    <x v="0"/>
    <s v="Amit"/>
    <n v="35270"/>
    <n v="1"/>
    <n v="30"/>
    <x v="2"/>
    <n v="35270"/>
    <n v="24689"/>
  </r>
  <r>
    <s v="ORD1051"/>
    <x v="121"/>
    <x v="3"/>
    <x v="4"/>
    <x v="0"/>
    <s v="Priya"/>
    <n v="41953"/>
    <n v="2"/>
    <n v="9"/>
    <x v="2"/>
    <n v="83906"/>
    <n v="76354.460000000006"/>
  </r>
  <r>
    <s v="ORD1053"/>
    <x v="214"/>
    <x v="0"/>
    <x v="4"/>
    <x v="1"/>
    <s v="Kiran"/>
    <n v="25744"/>
    <n v="1"/>
    <n v="1"/>
    <x v="2"/>
    <n v="25744"/>
    <n v="25486.560000000001"/>
  </r>
  <r>
    <s v="ORD1054"/>
    <x v="220"/>
    <x v="2"/>
    <x v="0"/>
    <x v="0"/>
    <s v="Ravi"/>
    <n v="17297"/>
    <n v="4"/>
    <n v="9"/>
    <x v="2"/>
    <n v="69188"/>
    <n v="62961.08"/>
  </r>
  <r>
    <s v="ORD1055"/>
    <x v="315"/>
    <x v="1"/>
    <x v="0"/>
    <x v="1"/>
    <s v="Amit"/>
    <n v="26168"/>
    <n v="2"/>
    <n v="25"/>
    <x v="2"/>
    <n v="52336"/>
    <n v="39252"/>
  </r>
  <r>
    <s v="ORD1056"/>
    <x v="27"/>
    <x v="2"/>
    <x v="0"/>
    <x v="1"/>
    <s v="Amit"/>
    <n v="7400"/>
    <n v="3"/>
    <n v="7"/>
    <x v="1"/>
    <n v="22200"/>
    <n v="20646"/>
  </r>
  <r>
    <s v="ORD1057"/>
    <x v="45"/>
    <x v="3"/>
    <x v="1"/>
    <x v="1"/>
    <s v="Amit"/>
    <n v="19339"/>
    <n v="6"/>
    <n v="2"/>
    <x v="0"/>
    <n v="116034"/>
    <n v="113713.32"/>
  </r>
  <r>
    <s v="ORD1058"/>
    <x v="17"/>
    <x v="0"/>
    <x v="4"/>
    <x v="1"/>
    <s v="Anjali"/>
    <n v="24932"/>
    <n v="2"/>
    <n v="20"/>
    <x v="0"/>
    <n v="49864"/>
    <n v="39891.199999999997"/>
  </r>
  <r>
    <s v="ORD1059"/>
    <x v="113"/>
    <x v="0"/>
    <x v="2"/>
    <x v="0"/>
    <s v="Anjali"/>
    <n v="43399"/>
    <n v="10"/>
    <n v="13"/>
    <x v="0"/>
    <n v="433990"/>
    <n v="377571.3"/>
  </r>
  <r>
    <s v="ORD1060"/>
    <x v="50"/>
    <x v="2"/>
    <x v="1"/>
    <x v="1"/>
    <s v="Amit"/>
    <n v="45122"/>
    <n v="9"/>
    <n v="4"/>
    <x v="2"/>
    <n v="406098"/>
    <n v="389854.08"/>
  </r>
  <r>
    <s v="ORD1061"/>
    <x v="140"/>
    <x v="1"/>
    <x v="4"/>
    <x v="0"/>
    <s v="Kiran"/>
    <n v="7474"/>
    <n v="9"/>
    <n v="10"/>
    <x v="2"/>
    <n v="67266"/>
    <n v="60539.4"/>
  </r>
  <r>
    <s v="ORD1062"/>
    <x v="321"/>
    <x v="0"/>
    <x v="0"/>
    <x v="0"/>
    <s v="Rahul"/>
    <n v="42098"/>
    <n v="4"/>
    <n v="4"/>
    <x v="0"/>
    <n v="168392"/>
    <n v="161656.32000000001"/>
  </r>
  <r>
    <s v="ORD1063"/>
    <x v="188"/>
    <x v="0"/>
    <x v="4"/>
    <x v="1"/>
    <s v="Ravi"/>
    <n v="11535"/>
    <n v="1"/>
    <n v="0"/>
    <x v="0"/>
    <n v="11535"/>
    <n v="11535"/>
  </r>
  <r>
    <s v="ORD1064"/>
    <x v="223"/>
    <x v="1"/>
    <x v="1"/>
    <x v="1"/>
    <s v="Priya"/>
    <n v="2934"/>
    <n v="5"/>
    <n v="0"/>
    <x v="2"/>
    <n v="14670"/>
    <n v="14670"/>
  </r>
  <r>
    <s v="ORD1066"/>
    <x v="4"/>
    <x v="1"/>
    <x v="1"/>
    <x v="1"/>
    <s v="Kiran"/>
    <n v="48227"/>
    <n v="9"/>
    <n v="19"/>
    <x v="1"/>
    <n v="434043"/>
    <n v="351574.83"/>
  </r>
  <r>
    <s v="ORD1069"/>
    <x v="294"/>
    <x v="1"/>
    <x v="0"/>
    <x v="1"/>
    <s v="Anjali"/>
    <n v="26589"/>
    <n v="3"/>
    <n v="7"/>
    <x v="1"/>
    <n v="79767"/>
    <n v="74183.31"/>
  </r>
  <r>
    <s v="ORD1070"/>
    <x v="104"/>
    <x v="1"/>
    <x v="2"/>
    <x v="1"/>
    <s v="Priya"/>
    <n v="48298"/>
    <n v="2"/>
    <n v="9"/>
    <x v="2"/>
    <n v="96596"/>
    <n v="87902.36"/>
  </r>
  <r>
    <s v="ORD1071"/>
    <x v="112"/>
    <x v="3"/>
    <x v="0"/>
    <x v="1"/>
    <s v="Amit"/>
    <n v="25279"/>
    <n v="8"/>
    <n v="14"/>
    <x v="1"/>
    <n v="202232"/>
    <n v="173919.52"/>
  </r>
  <r>
    <s v="ORD1072"/>
    <x v="274"/>
    <x v="2"/>
    <x v="3"/>
    <x v="1"/>
    <s v="Amit"/>
    <n v="47680"/>
    <n v="5"/>
    <n v="12"/>
    <x v="1"/>
    <n v="238400"/>
    <n v="209792"/>
  </r>
  <r>
    <s v="ORD1073"/>
    <x v="249"/>
    <x v="1"/>
    <x v="3"/>
    <x v="0"/>
    <s v="Ravi"/>
    <n v="13914"/>
    <n v="9"/>
    <n v="16"/>
    <x v="0"/>
    <n v="125226"/>
    <n v="105189.84"/>
  </r>
  <r>
    <s v="ORD1074"/>
    <x v="242"/>
    <x v="2"/>
    <x v="0"/>
    <x v="0"/>
    <s v="Amit"/>
    <n v="2929"/>
    <n v="4"/>
    <n v="12"/>
    <x v="2"/>
    <n v="11716"/>
    <n v="10310.08"/>
  </r>
  <r>
    <s v="ORD1075"/>
    <x v="54"/>
    <x v="1"/>
    <x v="2"/>
    <x v="1"/>
    <s v="Ravi"/>
    <n v="4942"/>
    <n v="10"/>
    <n v="17"/>
    <x v="1"/>
    <n v="49420"/>
    <n v="41018.6"/>
  </r>
  <r>
    <s v="ORD1076"/>
    <x v="203"/>
    <x v="2"/>
    <x v="0"/>
    <x v="0"/>
    <s v="Anjali"/>
    <n v="24864"/>
    <n v="1"/>
    <n v="9"/>
    <x v="2"/>
    <n v="24864"/>
    <n v="22626.239999999998"/>
  </r>
  <r>
    <s v="ORD1077"/>
    <x v="319"/>
    <x v="2"/>
    <x v="1"/>
    <x v="0"/>
    <s v="Amit"/>
    <n v="5611"/>
    <n v="5"/>
    <n v="4"/>
    <x v="1"/>
    <n v="28055"/>
    <n v="26932.799999999999"/>
  </r>
  <r>
    <s v="ORD1078"/>
    <x v="336"/>
    <x v="3"/>
    <x v="4"/>
    <x v="0"/>
    <s v="Amit"/>
    <n v="17098"/>
    <n v="1"/>
    <n v="20"/>
    <x v="1"/>
    <n v="17098"/>
    <n v="13678.4"/>
  </r>
  <r>
    <s v="ORD1081"/>
    <x v="95"/>
    <x v="2"/>
    <x v="2"/>
    <x v="0"/>
    <s v="Kiran"/>
    <n v="23671"/>
    <n v="6"/>
    <n v="13"/>
    <x v="1"/>
    <n v="142026"/>
    <n v="123562.62"/>
  </r>
  <r>
    <s v="ORD1082"/>
    <x v="270"/>
    <x v="1"/>
    <x v="4"/>
    <x v="0"/>
    <s v="Kiran"/>
    <n v="17269"/>
    <n v="10"/>
    <n v="20"/>
    <x v="2"/>
    <n v="172690"/>
    <n v="138152"/>
  </r>
  <r>
    <s v="ORD1083"/>
    <x v="38"/>
    <x v="3"/>
    <x v="4"/>
    <x v="1"/>
    <s v="Rahul"/>
    <n v="32516"/>
    <n v="1"/>
    <n v="16"/>
    <x v="2"/>
    <n v="32516"/>
    <n v="27313.439999999999"/>
  </r>
  <r>
    <s v="ORD1085"/>
    <x v="205"/>
    <x v="0"/>
    <x v="0"/>
    <x v="0"/>
    <s v="Rahul"/>
    <n v="22996"/>
    <n v="2"/>
    <n v="5"/>
    <x v="0"/>
    <n v="45992"/>
    <n v="43692.4"/>
  </r>
  <r>
    <s v="ORD1086"/>
    <x v="83"/>
    <x v="3"/>
    <x v="0"/>
    <x v="0"/>
    <s v="Anjali"/>
    <n v="1060"/>
    <n v="10"/>
    <n v="13"/>
    <x v="0"/>
    <n v="10600"/>
    <n v="9222"/>
  </r>
  <r>
    <s v="ORD1087"/>
    <x v="337"/>
    <x v="1"/>
    <x v="2"/>
    <x v="0"/>
    <s v="Ravi"/>
    <n v="41522"/>
    <n v="6"/>
    <n v="3"/>
    <x v="2"/>
    <n v="249132"/>
    <n v="241658.04"/>
  </r>
  <r>
    <s v="ORD1088"/>
    <x v="278"/>
    <x v="2"/>
    <x v="3"/>
    <x v="1"/>
    <s v="Anjali"/>
    <n v="16368"/>
    <n v="1"/>
    <n v="29"/>
    <x v="0"/>
    <n v="16368"/>
    <n v="11621.279999999999"/>
  </r>
  <r>
    <s v="ORD1089"/>
    <x v="268"/>
    <x v="0"/>
    <x v="3"/>
    <x v="1"/>
    <s v="Ravi"/>
    <n v="46089"/>
    <n v="7"/>
    <n v="6"/>
    <x v="2"/>
    <n v="322623"/>
    <n v="303265.62"/>
  </r>
  <r>
    <s v="ORD1090"/>
    <x v="284"/>
    <x v="0"/>
    <x v="4"/>
    <x v="1"/>
    <s v="Sneha"/>
    <n v="28542"/>
    <n v="8"/>
    <n v="9"/>
    <x v="1"/>
    <n v="228336"/>
    <n v="207785.76"/>
  </r>
  <r>
    <s v="ORD1091"/>
    <x v="13"/>
    <x v="1"/>
    <x v="3"/>
    <x v="1"/>
    <s v="Priya"/>
    <n v="4029"/>
    <n v="9"/>
    <n v="8"/>
    <x v="0"/>
    <n v="36261"/>
    <n v="33360.120000000003"/>
  </r>
  <r>
    <s v="ORD1092"/>
    <x v="168"/>
    <x v="1"/>
    <x v="2"/>
    <x v="0"/>
    <s v="Ravi"/>
    <n v="40538"/>
    <n v="6"/>
    <n v="30"/>
    <x v="1"/>
    <n v="243228"/>
    <n v="170259.6"/>
  </r>
  <r>
    <s v="ORD1093"/>
    <x v="15"/>
    <x v="2"/>
    <x v="2"/>
    <x v="0"/>
    <s v="Ravi"/>
    <n v="34968"/>
    <n v="9"/>
    <n v="9"/>
    <x v="2"/>
    <n v="314712"/>
    <n v="286387.92"/>
  </r>
  <r>
    <s v="ORD1094"/>
    <x v="236"/>
    <x v="0"/>
    <x v="4"/>
    <x v="0"/>
    <s v="Priya"/>
    <n v="17199"/>
    <n v="6"/>
    <n v="5"/>
    <x v="0"/>
    <n v="103194"/>
    <n v="98034.3"/>
  </r>
  <r>
    <s v="ORD1095"/>
    <x v="258"/>
    <x v="3"/>
    <x v="2"/>
    <x v="1"/>
    <s v="Priya"/>
    <n v="21214"/>
    <n v="4"/>
    <n v="0"/>
    <x v="2"/>
    <n v="84856"/>
    <n v="84856"/>
  </r>
  <r>
    <s v="ORD1096"/>
    <x v="171"/>
    <x v="0"/>
    <x v="2"/>
    <x v="0"/>
    <s v="Priya"/>
    <n v="23407"/>
    <n v="8"/>
    <n v="23"/>
    <x v="2"/>
    <n v="187256"/>
    <n v="144187.12"/>
  </r>
  <r>
    <s v="ORD1098"/>
    <x v="143"/>
    <x v="1"/>
    <x v="0"/>
    <x v="0"/>
    <s v="Priya"/>
    <n v="23684"/>
    <n v="3"/>
    <n v="15"/>
    <x v="1"/>
    <n v="71052"/>
    <n v="60394.2"/>
  </r>
  <r>
    <s v="ORD1099"/>
    <x v="143"/>
    <x v="0"/>
    <x v="2"/>
    <x v="1"/>
    <s v="Anjali"/>
    <n v="20004"/>
    <n v="10"/>
    <n v="9"/>
    <x v="1"/>
    <n v="200040"/>
    <n v="182036.4"/>
  </r>
  <r>
    <s v="ORD1100"/>
    <x v="326"/>
    <x v="2"/>
    <x v="3"/>
    <x v="1"/>
    <s v="Anjali"/>
    <n v="43992"/>
    <n v="9"/>
    <n v="3"/>
    <x v="0"/>
    <n v="395928"/>
    <n v="384050.16"/>
  </r>
  <r>
    <s v="ORD1101"/>
    <x v="279"/>
    <x v="0"/>
    <x v="4"/>
    <x v="1"/>
    <s v="Kiran"/>
    <n v="32156"/>
    <n v="3"/>
    <n v="20"/>
    <x v="1"/>
    <n v="96468"/>
    <n v="77174.399999999994"/>
  </r>
  <r>
    <s v="ORD1102"/>
    <x v="151"/>
    <x v="3"/>
    <x v="3"/>
    <x v="0"/>
    <s v="Priya"/>
    <n v="23540"/>
    <n v="10"/>
    <n v="30"/>
    <x v="0"/>
    <n v="235400"/>
    <n v="164780"/>
  </r>
  <r>
    <s v="ORD1103"/>
    <x v="275"/>
    <x v="1"/>
    <x v="1"/>
    <x v="1"/>
    <s v="Sneha"/>
    <n v="10626"/>
    <n v="8"/>
    <n v="25"/>
    <x v="0"/>
    <n v="85008"/>
    <n v="63756"/>
  </r>
  <r>
    <s v="ORD1104"/>
    <x v="41"/>
    <x v="3"/>
    <x v="1"/>
    <x v="0"/>
    <s v="Priya"/>
    <n v="32968"/>
    <n v="4"/>
    <n v="19"/>
    <x v="2"/>
    <n v="131872"/>
    <n v="106816.32000000001"/>
  </r>
  <r>
    <s v="ORD1105"/>
    <x v="117"/>
    <x v="2"/>
    <x v="2"/>
    <x v="1"/>
    <s v="Amit"/>
    <n v="22073"/>
    <n v="3"/>
    <n v="11"/>
    <x v="2"/>
    <n v="66219"/>
    <n v="58934.91"/>
  </r>
  <r>
    <s v="ORD1106"/>
    <x v="233"/>
    <x v="1"/>
    <x v="4"/>
    <x v="0"/>
    <s v="Ravi"/>
    <n v="13039"/>
    <n v="7"/>
    <n v="21"/>
    <x v="1"/>
    <n v="91273"/>
    <n v="72105.67"/>
  </r>
  <r>
    <s v="ORD1108"/>
    <x v="286"/>
    <x v="1"/>
    <x v="3"/>
    <x v="0"/>
    <s v="Amit"/>
    <n v="21538"/>
    <n v="8"/>
    <n v="11"/>
    <x v="0"/>
    <n v="172304"/>
    <n v="153350.56"/>
  </r>
  <r>
    <s v="ORD1109"/>
    <x v="251"/>
    <x v="2"/>
    <x v="2"/>
    <x v="1"/>
    <s v="Kiran"/>
    <n v="4192"/>
    <n v="1"/>
    <n v="17"/>
    <x v="2"/>
    <n v="4192"/>
    <n v="3479.36"/>
  </r>
  <r>
    <s v="ORD1110"/>
    <x v="72"/>
    <x v="1"/>
    <x v="0"/>
    <x v="0"/>
    <s v="Ravi"/>
    <n v="47208"/>
    <n v="10"/>
    <n v="30"/>
    <x v="0"/>
    <n v="472080"/>
    <n v="330456"/>
  </r>
  <r>
    <s v="ORD1111"/>
    <x v="338"/>
    <x v="2"/>
    <x v="0"/>
    <x v="1"/>
    <s v="Ravi"/>
    <n v="48837"/>
    <n v="7"/>
    <n v="1"/>
    <x v="2"/>
    <n v="341859"/>
    <n v="338440.41"/>
  </r>
  <r>
    <s v="ORD1112"/>
    <x v="165"/>
    <x v="2"/>
    <x v="1"/>
    <x v="1"/>
    <s v="Amit"/>
    <n v="48212"/>
    <n v="3"/>
    <n v="5"/>
    <x v="2"/>
    <n v="144636"/>
    <n v="137404.20000000001"/>
  </r>
  <r>
    <s v="ORD1113"/>
    <x v="87"/>
    <x v="0"/>
    <x v="4"/>
    <x v="1"/>
    <s v="Sneha"/>
    <n v="23656"/>
    <n v="7"/>
    <n v="19"/>
    <x v="2"/>
    <n v="165592"/>
    <n v="134129.51999999999"/>
  </r>
  <r>
    <s v="ORD1114"/>
    <x v="339"/>
    <x v="3"/>
    <x v="1"/>
    <x v="1"/>
    <s v="Kiran"/>
    <n v="18466"/>
    <n v="10"/>
    <n v="4"/>
    <x v="1"/>
    <n v="184660"/>
    <n v="177273.60000000001"/>
  </r>
  <r>
    <s v="ORD1115"/>
    <x v="340"/>
    <x v="1"/>
    <x v="4"/>
    <x v="1"/>
    <s v="Amit"/>
    <n v="13861"/>
    <n v="7"/>
    <n v="13"/>
    <x v="2"/>
    <n v="97027"/>
    <n v="84413.49"/>
  </r>
  <r>
    <s v="ORD1116"/>
    <x v="197"/>
    <x v="2"/>
    <x v="0"/>
    <x v="1"/>
    <s v="Sneha"/>
    <n v="16288"/>
    <n v="7"/>
    <n v="3"/>
    <x v="1"/>
    <n v="114016"/>
    <n v="110595.52"/>
  </r>
  <r>
    <s v="ORD1117"/>
    <x v="200"/>
    <x v="2"/>
    <x v="0"/>
    <x v="1"/>
    <s v="Anjali"/>
    <n v="5113"/>
    <n v="4"/>
    <n v="5"/>
    <x v="1"/>
    <n v="20452"/>
    <n v="19429.400000000001"/>
  </r>
  <r>
    <s v="ORD1119"/>
    <x v="172"/>
    <x v="1"/>
    <x v="4"/>
    <x v="1"/>
    <s v="Sneha"/>
    <n v="41626"/>
    <n v="10"/>
    <n v="22"/>
    <x v="0"/>
    <n v="416260"/>
    <n v="324682.8"/>
  </r>
  <r>
    <s v="ORD1120"/>
    <x v="100"/>
    <x v="3"/>
    <x v="0"/>
    <x v="0"/>
    <s v="Sneha"/>
    <n v="33096"/>
    <n v="10"/>
    <n v="5"/>
    <x v="2"/>
    <n v="330960"/>
    <n v="314412"/>
  </r>
  <r>
    <s v="ORD1121"/>
    <x v="151"/>
    <x v="3"/>
    <x v="0"/>
    <x v="0"/>
    <s v="Kiran"/>
    <n v="38611"/>
    <n v="6"/>
    <n v="19"/>
    <x v="0"/>
    <n v="231666"/>
    <n v="187649.46"/>
  </r>
  <r>
    <s v="ORD1122"/>
    <x v="315"/>
    <x v="0"/>
    <x v="1"/>
    <x v="0"/>
    <s v="Sneha"/>
    <n v="232"/>
    <n v="10"/>
    <n v="23"/>
    <x v="0"/>
    <n v="2320"/>
    <n v="1786.4"/>
  </r>
  <r>
    <s v="ORD1124"/>
    <x v="157"/>
    <x v="2"/>
    <x v="1"/>
    <x v="0"/>
    <s v="Anjali"/>
    <n v="5165"/>
    <n v="6"/>
    <n v="23"/>
    <x v="2"/>
    <n v="30990"/>
    <n v="23862.3"/>
  </r>
  <r>
    <s v="ORD1125"/>
    <x v="341"/>
    <x v="1"/>
    <x v="2"/>
    <x v="0"/>
    <s v="Sneha"/>
    <n v="46401"/>
    <n v="1"/>
    <n v="28"/>
    <x v="0"/>
    <n v="46401"/>
    <n v="33408.720000000001"/>
  </r>
  <r>
    <s v="ORD1126"/>
    <x v="33"/>
    <x v="3"/>
    <x v="3"/>
    <x v="1"/>
    <s v="Anjali"/>
    <n v="12113"/>
    <n v="1"/>
    <n v="15"/>
    <x v="1"/>
    <n v="12113"/>
    <n v="10296.049999999999"/>
  </r>
  <r>
    <s v="ORD1127"/>
    <x v="306"/>
    <x v="1"/>
    <x v="0"/>
    <x v="0"/>
    <s v="Amit"/>
    <n v="36598"/>
    <n v="6"/>
    <n v="19"/>
    <x v="1"/>
    <n v="219588"/>
    <n v="177866.28"/>
  </r>
  <r>
    <s v="ORD1128"/>
    <x v="186"/>
    <x v="3"/>
    <x v="4"/>
    <x v="0"/>
    <s v="Amit"/>
    <n v="23839"/>
    <n v="2"/>
    <n v="22"/>
    <x v="1"/>
    <n v="47678"/>
    <n v="37188.839999999997"/>
  </r>
  <r>
    <s v="ORD1129"/>
    <x v="140"/>
    <x v="2"/>
    <x v="0"/>
    <x v="1"/>
    <s v="Kiran"/>
    <n v="26481"/>
    <n v="2"/>
    <n v="29"/>
    <x v="1"/>
    <n v="52962"/>
    <n v="37603.020000000004"/>
  </r>
  <r>
    <s v="ORD1130"/>
    <x v="154"/>
    <x v="1"/>
    <x v="4"/>
    <x v="1"/>
    <s v="Amit"/>
    <n v="7940"/>
    <n v="10"/>
    <n v="8"/>
    <x v="1"/>
    <n v="79400"/>
    <n v="73048"/>
  </r>
  <r>
    <s v="ORD1131"/>
    <x v="47"/>
    <x v="3"/>
    <x v="4"/>
    <x v="1"/>
    <s v="Kiran"/>
    <n v="47879"/>
    <n v="1"/>
    <n v="7"/>
    <x v="1"/>
    <n v="47879"/>
    <n v="44527.47"/>
  </r>
  <r>
    <s v="ORD1133"/>
    <x v="140"/>
    <x v="1"/>
    <x v="2"/>
    <x v="1"/>
    <s v="Priya"/>
    <n v="30340"/>
    <n v="2"/>
    <n v="19"/>
    <x v="2"/>
    <n v="60680"/>
    <n v="49150.8"/>
  </r>
  <r>
    <s v="ORD1134"/>
    <x v="130"/>
    <x v="1"/>
    <x v="1"/>
    <x v="0"/>
    <s v="Amit"/>
    <n v="44925"/>
    <n v="9"/>
    <n v="30"/>
    <x v="2"/>
    <n v="404325"/>
    <n v="283027.5"/>
  </r>
  <r>
    <s v="ORD1135"/>
    <x v="273"/>
    <x v="2"/>
    <x v="1"/>
    <x v="1"/>
    <s v="Rahul"/>
    <n v="5913"/>
    <n v="8"/>
    <n v="18"/>
    <x v="2"/>
    <n v="47304"/>
    <n v="38789.279999999999"/>
  </r>
  <r>
    <s v="ORD1137"/>
    <x v="323"/>
    <x v="0"/>
    <x v="2"/>
    <x v="1"/>
    <s v="Sneha"/>
    <n v="29825"/>
    <n v="10"/>
    <n v="25"/>
    <x v="1"/>
    <n v="298250"/>
    <n v="223687.5"/>
  </r>
  <r>
    <s v="ORD1139"/>
    <x v="334"/>
    <x v="2"/>
    <x v="4"/>
    <x v="1"/>
    <s v="Anjali"/>
    <n v="2496"/>
    <n v="3"/>
    <n v="30"/>
    <x v="2"/>
    <n v="7488"/>
    <n v="5241.6000000000004"/>
  </r>
  <r>
    <s v="ORD1140"/>
    <x v="342"/>
    <x v="2"/>
    <x v="4"/>
    <x v="1"/>
    <s v="Priya"/>
    <n v="15013"/>
    <n v="5"/>
    <n v="26"/>
    <x v="1"/>
    <n v="75065"/>
    <n v="55548.1"/>
  </r>
  <r>
    <s v="ORD1141"/>
    <x v="300"/>
    <x v="2"/>
    <x v="2"/>
    <x v="1"/>
    <s v="Rahul"/>
    <n v="35333"/>
    <n v="8"/>
    <n v="15"/>
    <x v="2"/>
    <n v="282664"/>
    <n v="240264.4"/>
  </r>
  <r>
    <s v="ORD1143"/>
    <x v="316"/>
    <x v="2"/>
    <x v="1"/>
    <x v="1"/>
    <s v="Rahul"/>
    <n v="15325"/>
    <n v="6"/>
    <n v="6"/>
    <x v="2"/>
    <n v="91950"/>
    <n v="86433"/>
  </r>
  <r>
    <s v="ORD1145"/>
    <x v="22"/>
    <x v="1"/>
    <x v="1"/>
    <x v="0"/>
    <s v="Ravi"/>
    <n v="15963"/>
    <n v="2"/>
    <n v="22"/>
    <x v="0"/>
    <n v="31926"/>
    <n v="24902.28"/>
  </r>
  <r>
    <s v="ORD1146"/>
    <x v="155"/>
    <x v="2"/>
    <x v="0"/>
    <x v="1"/>
    <s v="Priya"/>
    <n v="31930"/>
    <n v="10"/>
    <n v="12"/>
    <x v="2"/>
    <n v="319300"/>
    <n v="280984"/>
  </r>
  <r>
    <s v="ORD1147"/>
    <x v="133"/>
    <x v="2"/>
    <x v="1"/>
    <x v="1"/>
    <s v="Amit"/>
    <n v="9049"/>
    <n v="7"/>
    <n v="6"/>
    <x v="0"/>
    <n v="63343"/>
    <n v="59542.42"/>
  </r>
  <r>
    <s v="ORD1148"/>
    <x v="53"/>
    <x v="1"/>
    <x v="4"/>
    <x v="1"/>
    <s v="Priya"/>
    <n v="13793"/>
    <n v="10"/>
    <n v="19"/>
    <x v="1"/>
    <n v="137930"/>
    <n v="111723.3"/>
  </r>
  <r>
    <s v="ORD1150"/>
    <x v="25"/>
    <x v="2"/>
    <x v="3"/>
    <x v="1"/>
    <s v="Sneha"/>
    <n v="7811"/>
    <n v="7"/>
    <n v="28"/>
    <x v="2"/>
    <n v="54677"/>
    <n v="39367.440000000002"/>
  </r>
  <r>
    <s v="ORD1151"/>
    <x v="338"/>
    <x v="2"/>
    <x v="3"/>
    <x v="0"/>
    <s v="Ravi"/>
    <n v="17995"/>
    <n v="1"/>
    <n v="21"/>
    <x v="0"/>
    <n v="17995"/>
    <n v="14216.05"/>
  </r>
  <r>
    <s v="ORD1152"/>
    <x v="333"/>
    <x v="0"/>
    <x v="1"/>
    <x v="1"/>
    <s v="Kiran"/>
    <n v="6595"/>
    <n v="1"/>
    <n v="2"/>
    <x v="0"/>
    <n v="6595"/>
    <n v="6463.1"/>
  </r>
  <r>
    <s v="ORD1153"/>
    <x v="343"/>
    <x v="3"/>
    <x v="4"/>
    <x v="0"/>
    <s v="Sneha"/>
    <n v="34046"/>
    <n v="1"/>
    <n v="17"/>
    <x v="1"/>
    <n v="34046"/>
    <n v="28258.18"/>
  </r>
  <r>
    <s v="ORD1154"/>
    <x v="344"/>
    <x v="0"/>
    <x v="2"/>
    <x v="0"/>
    <s v="Anjali"/>
    <n v="7055"/>
    <n v="6"/>
    <n v="11"/>
    <x v="1"/>
    <n v="42330"/>
    <n v="37673.699999999997"/>
  </r>
  <r>
    <s v="ORD1155"/>
    <x v="204"/>
    <x v="1"/>
    <x v="1"/>
    <x v="1"/>
    <s v="Anjali"/>
    <n v="1743"/>
    <n v="9"/>
    <n v="22"/>
    <x v="1"/>
    <n v="15687"/>
    <n v="12235.86"/>
  </r>
  <r>
    <s v="ORD1156"/>
    <x v="212"/>
    <x v="0"/>
    <x v="3"/>
    <x v="1"/>
    <s v="Kiran"/>
    <n v="30308"/>
    <n v="2"/>
    <n v="2"/>
    <x v="2"/>
    <n v="60616"/>
    <n v="59403.68"/>
  </r>
  <r>
    <s v="ORD1158"/>
    <x v="254"/>
    <x v="1"/>
    <x v="0"/>
    <x v="0"/>
    <s v="Priya"/>
    <n v="21622"/>
    <n v="5"/>
    <n v="1"/>
    <x v="1"/>
    <n v="108110"/>
    <n v="107028.9"/>
  </r>
  <r>
    <s v="ORD1159"/>
    <x v="300"/>
    <x v="3"/>
    <x v="1"/>
    <x v="1"/>
    <s v="Rahul"/>
    <n v="49585"/>
    <n v="6"/>
    <n v="17"/>
    <x v="2"/>
    <n v="297510"/>
    <n v="246933.3"/>
  </r>
  <r>
    <s v="ORD1160"/>
    <x v="203"/>
    <x v="1"/>
    <x v="2"/>
    <x v="0"/>
    <s v="Anjali"/>
    <n v="18558"/>
    <n v="8"/>
    <n v="21"/>
    <x v="2"/>
    <n v="148464"/>
    <n v="117286.56"/>
  </r>
  <r>
    <s v="ORD1162"/>
    <x v="345"/>
    <x v="0"/>
    <x v="3"/>
    <x v="0"/>
    <s v="Ravi"/>
    <n v="45571"/>
    <n v="9"/>
    <n v="16"/>
    <x v="2"/>
    <n v="410139"/>
    <n v="344516.76"/>
  </r>
  <r>
    <s v="ORD1163"/>
    <x v="19"/>
    <x v="2"/>
    <x v="4"/>
    <x v="1"/>
    <s v="Anjali"/>
    <n v="40520"/>
    <n v="9"/>
    <n v="27"/>
    <x v="1"/>
    <n v="364680"/>
    <n v="266216.40000000002"/>
  </r>
  <r>
    <s v="ORD1164"/>
    <x v="113"/>
    <x v="0"/>
    <x v="4"/>
    <x v="0"/>
    <s v="Sneha"/>
    <n v="14775"/>
    <n v="7"/>
    <n v="11"/>
    <x v="0"/>
    <n v="103425"/>
    <n v="92048.25"/>
  </r>
  <r>
    <s v="ORD1165"/>
    <x v="309"/>
    <x v="1"/>
    <x v="1"/>
    <x v="1"/>
    <s v="Rahul"/>
    <n v="26670"/>
    <n v="7"/>
    <n v="6"/>
    <x v="0"/>
    <n v="186690"/>
    <n v="175488.6"/>
  </r>
  <r>
    <s v="ORD1169"/>
    <x v="201"/>
    <x v="0"/>
    <x v="0"/>
    <x v="0"/>
    <s v="Amit"/>
    <n v="4582"/>
    <n v="6"/>
    <n v="30"/>
    <x v="2"/>
    <n v="27492"/>
    <n v="19244.400000000001"/>
  </r>
  <r>
    <s v="ORD1170"/>
    <x v="319"/>
    <x v="3"/>
    <x v="1"/>
    <x v="1"/>
    <s v="Sneha"/>
    <n v="43452"/>
    <n v="1"/>
    <n v="7"/>
    <x v="0"/>
    <n v="43452"/>
    <n v="40410.36"/>
  </r>
  <r>
    <s v="ORD1171"/>
    <x v="167"/>
    <x v="2"/>
    <x v="0"/>
    <x v="0"/>
    <s v="Kiran"/>
    <n v="11307"/>
    <n v="1"/>
    <n v="10"/>
    <x v="0"/>
    <n v="11307"/>
    <n v="10176.299999999999"/>
  </r>
  <r>
    <s v="ORD1172"/>
    <x v="280"/>
    <x v="0"/>
    <x v="4"/>
    <x v="1"/>
    <s v="Priya"/>
    <n v="23318"/>
    <n v="6"/>
    <n v="24"/>
    <x v="1"/>
    <n v="139908"/>
    <n v="106330.08"/>
  </r>
  <r>
    <s v="ORD1173"/>
    <x v="65"/>
    <x v="2"/>
    <x v="0"/>
    <x v="1"/>
    <s v="Priya"/>
    <n v="38415"/>
    <n v="4"/>
    <n v="20"/>
    <x v="1"/>
    <n v="153660"/>
    <n v="122928"/>
  </r>
  <r>
    <s v="ORD1174"/>
    <x v="2"/>
    <x v="0"/>
    <x v="2"/>
    <x v="1"/>
    <s v="Amit"/>
    <n v="23081"/>
    <n v="8"/>
    <n v="21"/>
    <x v="1"/>
    <n v="184648"/>
    <n v="145871.91999999998"/>
  </r>
  <r>
    <s v="ORD1175"/>
    <x v="133"/>
    <x v="1"/>
    <x v="2"/>
    <x v="1"/>
    <s v="Ravi"/>
    <n v="6930"/>
    <n v="8"/>
    <n v="22"/>
    <x v="0"/>
    <n v="55440"/>
    <n v="43243.199999999997"/>
  </r>
  <r>
    <s v="ORD1176"/>
    <x v="22"/>
    <x v="0"/>
    <x v="3"/>
    <x v="1"/>
    <s v="Amit"/>
    <n v="25263"/>
    <n v="5"/>
    <n v="19"/>
    <x v="1"/>
    <n v="126315"/>
    <n v="102315.15"/>
  </r>
  <r>
    <s v="ORD1178"/>
    <x v="304"/>
    <x v="0"/>
    <x v="4"/>
    <x v="0"/>
    <s v="Priya"/>
    <n v="44480"/>
    <n v="7"/>
    <n v="5"/>
    <x v="1"/>
    <n v="311360"/>
    <n v="295792"/>
  </r>
  <r>
    <s v="ORD1179"/>
    <x v="196"/>
    <x v="0"/>
    <x v="0"/>
    <x v="0"/>
    <s v="Sneha"/>
    <n v="649"/>
    <n v="4"/>
    <n v="23"/>
    <x v="2"/>
    <n v="2596"/>
    <n v="1998.92"/>
  </r>
  <r>
    <s v="ORD1181"/>
    <x v="122"/>
    <x v="2"/>
    <x v="4"/>
    <x v="1"/>
    <s v="Sneha"/>
    <n v="7182"/>
    <n v="9"/>
    <n v="6"/>
    <x v="0"/>
    <n v="64638"/>
    <n v="60759.72"/>
  </r>
  <r>
    <s v="ORD1182"/>
    <x v="15"/>
    <x v="3"/>
    <x v="2"/>
    <x v="1"/>
    <s v="Kiran"/>
    <n v="9039"/>
    <n v="6"/>
    <n v="15"/>
    <x v="2"/>
    <n v="54234"/>
    <n v="46098.9"/>
  </r>
  <r>
    <s v="ORD1183"/>
    <x v="323"/>
    <x v="3"/>
    <x v="4"/>
    <x v="1"/>
    <s v="Sneha"/>
    <n v="13835"/>
    <n v="1"/>
    <n v="29"/>
    <x v="0"/>
    <n v="13835"/>
    <n v="9822.85"/>
  </r>
  <r>
    <s v="ORD1184"/>
    <x v="262"/>
    <x v="3"/>
    <x v="2"/>
    <x v="1"/>
    <s v="Amit"/>
    <n v="1207"/>
    <n v="7"/>
    <n v="24"/>
    <x v="0"/>
    <n v="8449"/>
    <n v="6421.24"/>
  </r>
  <r>
    <s v="ORD1185"/>
    <x v="289"/>
    <x v="2"/>
    <x v="3"/>
    <x v="1"/>
    <s v="Amit"/>
    <n v="35656"/>
    <n v="1"/>
    <n v="2"/>
    <x v="2"/>
    <n v="35656"/>
    <n v="34942.879999999997"/>
  </r>
  <r>
    <s v="ORD1187"/>
    <x v="273"/>
    <x v="1"/>
    <x v="2"/>
    <x v="1"/>
    <s v="Rahul"/>
    <n v="18961"/>
    <n v="6"/>
    <n v="11"/>
    <x v="0"/>
    <n v="113766"/>
    <n v="101251.74"/>
  </r>
  <r>
    <s v="ORD1188"/>
    <x v="87"/>
    <x v="2"/>
    <x v="4"/>
    <x v="0"/>
    <s v="Priya"/>
    <n v="2787"/>
    <n v="2"/>
    <n v="4"/>
    <x v="0"/>
    <n v="5574"/>
    <n v="5351.04"/>
  </r>
  <r>
    <s v="ORD1189"/>
    <x v="330"/>
    <x v="2"/>
    <x v="0"/>
    <x v="1"/>
    <s v="Amit"/>
    <n v="43114"/>
    <n v="10"/>
    <n v="7"/>
    <x v="0"/>
    <n v="431140"/>
    <n v="400960.2"/>
  </r>
  <r>
    <s v="ORD1190"/>
    <x v="284"/>
    <x v="0"/>
    <x v="1"/>
    <x v="1"/>
    <s v="Amit"/>
    <n v="23478"/>
    <n v="1"/>
    <n v="24"/>
    <x v="0"/>
    <n v="23478"/>
    <n v="17843.28"/>
  </r>
  <r>
    <s v="ORD1191"/>
    <x v="149"/>
    <x v="3"/>
    <x v="1"/>
    <x v="1"/>
    <s v="Ravi"/>
    <n v="179"/>
    <n v="2"/>
    <n v="25"/>
    <x v="1"/>
    <n v="358"/>
    <n v="268.5"/>
  </r>
  <r>
    <s v="ORD1192"/>
    <x v="106"/>
    <x v="1"/>
    <x v="3"/>
    <x v="1"/>
    <s v="Sneha"/>
    <n v="16166"/>
    <n v="3"/>
    <n v="2"/>
    <x v="0"/>
    <n v="48498"/>
    <n v="47528.04"/>
  </r>
  <r>
    <s v="ORD1193"/>
    <x v="96"/>
    <x v="2"/>
    <x v="4"/>
    <x v="1"/>
    <s v="Amit"/>
    <n v="15546"/>
    <n v="6"/>
    <n v="19"/>
    <x v="2"/>
    <n v="93276"/>
    <n v="75553.56"/>
  </r>
  <r>
    <s v="ORD1194"/>
    <x v="68"/>
    <x v="1"/>
    <x v="1"/>
    <x v="0"/>
    <s v="Amit"/>
    <n v="40213"/>
    <n v="7"/>
    <n v="28"/>
    <x v="0"/>
    <n v="281491"/>
    <n v="202673.52000000002"/>
  </r>
  <r>
    <s v="ORD1196"/>
    <x v="63"/>
    <x v="1"/>
    <x v="3"/>
    <x v="0"/>
    <s v="Priya"/>
    <n v="46526"/>
    <n v="7"/>
    <n v="12"/>
    <x v="2"/>
    <n v="325682"/>
    <n v="286600.16000000003"/>
  </r>
  <r>
    <s v="ORD1197"/>
    <x v="100"/>
    <x v="1"/>
    <x v="3"/>
    <x v="0"/>
    <s v="Anjali"/>
    <n v="21330"/>
    <n v="10"/>
    <n v="28"/>
    <x v="1"/>
    <n v="213300"/>
    <n v="153576"/>
  </r>
  <r>
    <s v="ORD1198"/>
    <x v="0"/>
    <x v="3"/>
    <x v="3"/>
    <x v="0"/>
    <s v="Rahul"/>
    <n v="3104"/>
    <n v="3"/>
    <n v="16"/>
    <x v="2"/>
    <n v="9312"/>
    <n v="7822.08"/>
  </r>
  <r>
    <s v="ORD1200"/>
    <x v="160"/>
    <x v="2"/>
    <x v="3"/>
    <x v="1"/>
    <s v="Amit"/>
    <n v="19008"/>
    <n v="7"/>
    <n v="16"/>
    <x v="1"/>
    <n v="133056"/>
    <n v="111767.04000000001"/>
  </r>
  <r>
    <s v="ORD1201"/>
    <x v="48"/>
    <x v="0"/>
    <x v="4"/>
    <x v="1"/>
    <s v="Kiran"/>
    <n v="15793"/>
    <n v="7"/>
    <n v="15"/>
    <x v="0"/>
    <n v="110551"/>
    <n v="93968.35"/>
  </r>
  <r>
    <s v="ORD1202"/>
    <x v="237"/>
    <x v="0"/>
    <x v="3"/>
    <x v="0"/>
    <s v="Amit"/>
    <n v="42251"/>
    <n v="5"/>
    <n v="10"/>
    <x v="0"/>
    <n v="211255"/>
    <n v="190129.5"/>
  </r>
  <r>
    <s v="ORD1204"/>
    <x v="6"/>
    <x v="2"/>
    <x v="4"/>
    <x v="0"/>
    <s v="Amit"/>
    <n v="1006"/>
    <n v="9"/>
    <n v="11"/>
    <x v="1"/>
    <n v="9054"/>
    <n v="8058.0599999999995"/>
  </r>
  <r>
    <s v="ORD1205"/>
    <x v="66"/>
    <x v="3"/>
    <x v="3"/>
    <x v="0"/>
    <s v="Ravi"/>
    <n v="37308"/>
    <n v="6"/>
    <n v="7"/>
    <x v="0"/>
    <n v="223848"/>
    <n v="208178.64"/>
  </r>
  <r>
    <s v="ORD1206"/>
    <x v="310"/>
    <x v="0"/>
    <x v="3"/>
    <x v="1"/>
    <s v="Anjali"/>
    <n v="36081"/>
    <n v="4"/>
    <n v="3"/>
    <x v="0"/>
    <n v="144324"/>
    <n v="139994.28"/>
  </r>
  <r>
    <s v="ORD1207"/>
    <x v="279"/>
    <x v="1"/>
    <x v="4"/>
    <x v="1"/>
    <s v="Ravi"/>
    <n v="29462"/>
    <n v="1"/>
    <n v="30"/>
    <x v="2"/>
    <n v="29462"/>
    <n v="20623.400000000001"/>
  </r>
  <r>
    <s v="ORD1208"/>
    <x v="94"/>
    <x v="1"/>
    <x v="0"/>
    <x v="1"/>
    <s v="Ravi"/>
    <n v="13055"/>
    <n v="6"/>
    <n v="12"/>
    <x v="1"/>
    <n v="78330"/>
    <n v="68930.399999999994"/>
  </r>
  <r>
    <s v="ORD1209"/>
    <x v="19"/>
    <x v="0"/>
    <x v="2"/>
    <x v="1"/>
    <s v="Ravi"/>
    <n v="25417"/>
    <n v="10"/>
    <n v="0"/>
    <x v="1"/>
    <n v="254170"/>
    <n v="254170"/>
  </r>
  <r>
    <s v="ORD1210"/>
    <x v="74"/>
    <x v="1"/>
    <x v="1"/>
    <x v="0"/>
    <s v="Sneha"/>
    <n v="20621"/>
    <n v="3"/>
    <n v="1"/>
    <x v="2"/>
    <n v="61863"/>
    <n v="61244.37"/>
  </r>
  <r>
    <s v="ORD1211"/>
    <x v="183"/>
    <x v="0"/>
    <x v="2"/>
    <x v="1"/>
    <s v="Anjali"/>
    <n v="8907"/>
    <n v="5"/>
    <n v="21"/>
    <x v="2"/>
    <n v="44535"/>
    <n v="35182.65"/>
  </r>
  <r>
    <s v="ORD1212"/>
    <x v="346"/>
    <x v="3"/>
    <x v="3"/>
    <x v="1"/>
    <s v="Ravi"/>
    <n v="7221"/>
    <n v="6"/>
    <n v="0"/>
    <x v="0"/>
    <n v="43326"/>
    <n v="43326"/>
  </r>
  <r>
    <s v="ORD1213"/>
    <x v="31"/>
    <x v="1"/>
    <x v="0"/>
    <x v="1"/>
    <s v="Priya"/>
    <n v="13553"/>
    <n v="2"/>
    <n v="20"/>
    <x v="0"/>
    <n v="27106"/>
    <n v="21684.799999999999"/>
  </r>
  <r>
    <s v="ORD1215"/>
    <x v="346"/>
    <x v="0"/>
    <x v="3"/>
    <x v="1"/>
    <s v="Kiran"/>
    <n v="32780"/>
    <n v="9"/>
    <n v="16"/>
    <x v="2"/>
    <n v="295020"/>
    <n v="247816.8"/>
  </r>
  <r>
    <s v="ORD1216"/>
    <x v="137"/>
    <x v="2"/>
    <x v="0"/>
    <x v="1"/>
    <s v="Anjali"/>
    <n v="14422"/>
    <n v="2"/>
    <n v="28"/>
    <x v="0"/>
    <n v="28844"/>
    <n v="20767.68"/>
  </r>
  <r>
    <s v="ORD1217"/>
    <x v="347"/>
    <x v="0"/>
    <x v="1"/>
    <x v="1"/>
    <s v="Ravi"/>
    <n v="5126"/>
    <n v="4"/>
    <n v="24"/>
    <x v="0"/>
    <n v="20504"/>
    <n v="15583.04"/>
  </r>
  <r>
    <s v="ORD1218"/>
    <x v="34"/>
    <x v="1"/>
    <x v="4"/>
    <x v="1"/>
    <s v="Amit"/>
    <n v="26303"/>
    <n v="4"/>
    <n v="19"/>
    <x v="2"/>
    <n v="105212"/>
    <n v="85221.72"/>
  </r>
  <r>
    <s v="ORD1219"/>
    <x v="251"/>
    <x v="2"/>
    <x v="2"/>
    <x v="1"/>
    <s v="Anjali"/>
    <n v="16090"/>
    <n v="7"/>
    <n v="13"/>
    <x v="0"/>
    <n v="112630"/>
    <n v="97988.1"/>
  </r>
  <r>
    <s v="ORD1220"/>
    <x v="299"/>
    <x v="2"/>
    <x v="4"/>
    <x v="0"/>
    <s v="Amit"/>
    <n v="23107"/>
    <n v="10"/>
    <n v="29"/>
    <x v="1"/>
    <n v="231070"/>
    <n v="164059.70000000001"/>
  </r>
  <r>
    <s v="ORD1221"/>
    <x v="12"/>
    <x v="2"/>
    <x v="3"/>
    <x v="0"/>
    <s v="Priya"/>
    <n v="21249"/>
    <n v="4"/>
    <n v="23"/>
    <x v="1"/>
    <n v="84996"/>
    <n v="65446.92"/>
  </r>
  <r>
    <s v="ORD1222"/>
    <x v="348"/>
    <x v="0"/>
    <x v="4"/>
    <x v="0"/>
    <s v="Sneha"/>
    <n v="10587"/>
    <n v="7"/>
    <n v="10"/>
    <x v="0"/>
    <n v="74109"/>
    <n v="66698.100000000006"/>
  </r>
  <r>
    <s v="ORD1223"/>
    <x v="31"/>
    <x v="0"/>
    <x v="0"/>
    <x v="0"/>
    <s v="Sneha"/>
    <n v="38933"/>
    <n v="10"/>
    <n v="20"/>
    <x v="2"/>
    <n v="389330"/>
    <n v="311464"/>
  </r>
  <r>
    <s v="ORD1225"/>
    <x v="2"/>
    <x v="2"/>
    <x v="2"/>
    <x v="1"/>
    <s v="Priya"/>
    <n v="16747"/>
    <n v="9"/>
    <n v="11"/>
    <x v="1"/>
    <n v="150723"/>
    <n v="134143.47"/>
  </r>
  <r>
    <s v="ORD1227"/>
    <x v="6"/>
    <x v="1"/>
    <x v="1"/>
    <x v="1"/>
    <s v="Anjali"/>
    <n v="23104"/>
    <n v="6"/>
    <n v="26"/>
    <x v="1"/>
    <n v="138624"/>
    <n v="102581.76000000001"/>
  </r>
  <r>
    <s v="ORD1228"/>
    <x v="184"/>
    <x v="1"/>
    <x v="1"/>
    <x v="0"/>
    <s v="Sneha"/>
    <n v="843"/>
    <n v="4"/>
    <n v="19"/>
    <x v="2"/>
    <n v="3372"/>
    <n v="2731.32"/>
  </r>
  <r>
    <s v="ORD1229"/>
    <x v="343"/>
    <x v="1"/>
    <x v="2"/>
    <x v="1"/>
    <s v="Priya"/>
    <n v="33574"/>
    <n v="4"/>
    <n v="17"/>
    <x v="1"/>
    <n v="134296"/>
    <n v="111465.68"/>
  </r>
  <r>
    <s v="ORD1230"/>
    <x v="222"/>
    <x v="1"/>
    <x v="0"/>
    <x v="1"/>
    <s v="Ravi"/>
    <n v="24696"/>
    <n v="3"/>
    <n v="18"/>
    <x v="2"/>
    <n v="74088"/>
    <n v="60752.160000000003"/>
  </r>
  <r>
    <s v="ORD1231"/>
    <x v="170"/>
    <x v="1"/>
    <x v="2"/>
    <x v="0"/>
    <s v="Anjali"/>
    <n v="48197"/>
    <n v="10"/>
    <n v="11"/>
    <x v="2"/>
    <n v="481970"/>
    <n v="428953.3"/>
  </r>
  <r>
    <s v="ORD1234"/>
    <x v="249"/>
    <x v="1"/>
    <x v="4"/>
    <x v="1"/>
    <s v="Anjali"/>
    <n v="30724"/>
    <n v="6"/>
    <n v="28"/>
    <x v="1"/>
    <n v="184344"/>
    <n v="132727.67999999999"/>
  </r>
  <r>
    <s v="ORD1235"/>
    <x v="281"/>
    <x v="2"/>
    <x v="4"/>
    <x v="0"/>
    <s v="Rahul"/>
    <n v="35486"/>
    <n v="7"/>
    <n v="19"/>
    <x v="1"/>
    <n v="248402"/>
    <n v="201205.62"/>
  </r>
  <r>
    <s v="ORD1236"/>
    <x v="93"/>
    <x v="0"/>
    <x v="4"/>
    <x v="1"/>
    <s v="Anjali"/>
    <n v="9927"/>
    <n v="10"/>
    <n v="2"/>
    <x v="2"/>
    <n v="99270"/>
    <n v="97284.6"/>
  </r>
  <r>
    <s v="ORD1237"/>
    <x v="148"/>
    <x v="1"/>
    <x v="1"/>
    <x v="0"/>
    <s v="Sneha"/>
    <n v="37043"/>
    <n v="3"/>
    <n v="17"/>
    <x v="2"/>
    <n v="111129"/>
    <n v="92237.07"/>
  </r>
  <r>
    <s v="ORD1238"/>
    <x v="262"/>
    <x v="1"/>
    <x v="4"/>
    <x v="0"/>
    <s v="Sneha"/>
    <n v="1840"/>
    <n v="8"/>
    <n v="6"/>
    <x v="0"/>
    <n v="14720"/>
    <n v="13836.8"/>
  </r>
  <r>
    <s v="ORD1240"/>
    <x v="143"/>
    <x v="1"/>
    <x v="4"/>
    <x v="0"/>
    <s v="Rahul"/>
    <n v="32803"/>
    <n v="6"/>
    <n v="15"/>
    <x v="0"/>
    <n v="196818"/>
    <n v="167295.29999999999"/>
  </r>
  <r>
    <s v="ORD1241"/>
    <x v="6"/>
    <x v="2"/>
    <x v="4"/>
    <x v="1"/>
    <s v="Sneha"/>
    <n v="18976"/>
    <n v="5"/>
    <n v="12"/>
    <x v="0"/>
    <n v="94880"/>
    <n v="83494.399999999994"/>
  </r>
  <r>
    <s v="ORD1242"/>
    <x v="166"/>
    <x v="3"/>
    <x v="1"/>
    <x v="0"/>
    <s v="Anjali"/>
    <n v="43768"/>
    <n v="9"/>
    <n v="19"/>
    <x v="0"/>
    <n v="393912"/>
    <n v="319068.71999999997"/>
  </r>
  <r>
    <s v="ORD1244"/>
    <x v="221"/>
    <x v="0"/>
    <x v="0"/>
    <x v="0"/>
    <s v="Sneha"/>
    <n v="4724"/>
    <n v="3"/>
    <n v="8"/>
    <x v="0"/>
    <n v="14172"/>
    <n v="13038.24"/>
  </r>
  <r>
    <s v="ORD1246"/>
    <x v="52"/>
    <x v="2"/>
    <x v="4"/>
    <x v="1"/>
    <s v="Ravi"/>
    <n v="34564"/>
    <n v="2"/>
    <n v="13"/>
    <x v="0"/>
    <n v="69128"/>
    <n v="60141.36"/>
  </r>
  <r>
    <s v="ORD1248"/>
    <x v="144"/>
    <x v="3"/>
    <x v="2"/>
    <x v="0"/>
    <s v="Sneha"/>
    <n v="3124"/>
    <n v="10"/>
    <n v="9"/>
    <x v="0"/>
    <n v="31240"/>
    <n v="28428.400000000001"/>
  </r>
  <r>
    <s v="ORD1249"/>
    <x v="347"/>
    <x v="1"/>
    <x v="1"/>
    <x v="1"/>
    <s v="Sneha"/>
    <n v="27770"/>
    <n v="2"/>
    <n v="8"/>
    <x v="2"/>
    <n v="55540"/>
    <n v="51096.800000000003"/>
  </r>
  <r>
    <s v="ORD1250"/>
    <x v="167"/>
    <x v="0"/>
    <x v="0"/>
    <x v="0"/>
    <s v="Rahul"/>
    <n v="12324"/>
    <n v="6"/>
    <n v="24"/>
    <x v="0"/>
    <n v="73944"/>
    <n v="56197.440000000002"/>
  </r>
  <r>
    <s v="ORD1251"/>
    <x v="109"/>
    <x v="1"/>
    <x v="2"/>
    <x v="1"/>
    <s v="Priya"/>
    <n v="20536"/>
    <n v="3"/>
    <n v="18"/>
    <x v="2"/>
    <n v="61608"/>
    <n v="50518.559999999998"/>
  </r>
  <r>
    <s v="ORD1252"/>
    <x v="255"/>
    <x v="2"/>
    <x v="1"/>
    <x v="0"/>
    <s v="Amit"/>
    <n v="28944"/>
    <n v="2"/>
    <n v="14"/>
    <x v="2"/>
    <n v="57888"/>
    <n v="49783.68"/>
  </r>
  <r>
    <s v="ORD1253"/>
    <x v="65"/>
    <x v="2"/>
    <x v="3"/>
    <x v="1"/>
    <s v="Rahul"/>
    <n v="8344"/>
    <n v="7"/>
    <n v="19"/>
    <x v="1"/>
    <n v="58408"/>
    <n v="47310.479999999996"/>
  </r>
  <r>
    <s v="ORD1255"/>
    <x v="346"/>
    <x v="0"/>
    <x v="0"/>
    <x v="1"/>
    <s v="Priya"/>
    <n v="35948"/>
    <n v="9"/>
    <n v="3"/>
    <x v="2"/>
    <n v="323532"/>
    <n v="313826.03999999998"/>
  </r>
  <r>
    <s v="ORD1257"/>
    <x v="33"/>
    <x v="2"/>
    <x v="4"/>
    <x v="0"/>
    <s v="Rahul"/>
    <n v="35564"/>
    <n v="7"/>
    <n v="8"/>
    <x v="0"/>
    <n v="248948"/>
    <n v="229032.16"/>
  </r>
  <r>
    <s v="ORD1258"/>
    <x v="233"/>
    <x v="1"/>
    <x v="1"/>
    <x v="0"/>
    <s v="Kiran"/>
    <n v="27295"/>
    <n v="5"/>
    <n v="1"/>
    <x v="2"/>
    <n v="136475"/>
    <n v="135110.25"/>
  </r>
  <r>
    <s v="ORD1259"/>
    <x v="306"/>
    <x v="0"/>
    <x v="0"/>
    <x v="0"/>
    <s v="Rahul"/>
    <n v="23056"/>
    <n v="6"/>
    <n v="30"/>
    <x v="1"/>
    <n v="138336"/>
    <n v="96835.199999999997"/>
  </r>
  <r>
    <s v="ORD1260"/>
    <x v="349"/>
    <x v="3"/>
    <x v="1"/>
    <x v="0"/>
    <s v="Amit"/>
    <n v="22931"/>
    <n v="10"/>
    <n v="9"/>
    <x v="1"/>
    <n v="229310"/>
    <n v="208672.1"/>
  </r>
  <r>
    <s v="ORD1262"/>
    <x v="228"/>
    <x v="1"/>
    <x v="1"/>
    <x v="1"/>
    <s v="Anjali"/>
    <n v="7438"/>
    <n v="2"/>
    <n v="3"/>
    <x v="1"/>
    <n v="14876"/>
    <n v="14429.72"/>
  </r>
  <r>
    <s v="ORD1263"/>
    <x v="145"/>
    <x v="1"/>
    <x v="4"/>
    <x v="1"/>
    <s v="Anjali"/>
    <n v="48680"/>
    <n v="10"/>
    <n v="16"/>
    <x v="2"/>
    <n v="486800"/>
    <n v="408912"/>
  </r>
  <r>
    <s v="ORD1264"/>
    <x v="152"/>
    <x v="2"/>
    <x v="0"/>
    <x v="0"/>
    <s v="Rahul"/>
    <n v="13546"/>
    <n v="4"/>
    <n v="14"/>
    <x v="0"/>
    <n v="54184"/>
    <n v="46598.239999999998"/>
  </r>
  <r>
    <s v="ORD1265"/>
    <x v="124"/>
    <x v="3"/>
    <x v="4"/>
    <x v="1"/>
    <s v="Sneha"/>
    <n v="666"/>
    <n v="9"/>
    <n v="22"/>
    <x v="2"/>
    <n v="5994"/>
    <n v="4675.32"/>
  </r>
  <r>
    <s v="ORD1266"/>
    <x v="223"/>
    <x v="1"/>
    <x v="1"/>
    <x v="1"/>
    <s v="Amit"/>
    <n v="29522"/>
    <n v="4"/>
    <n v="8"/>
    <x v="2"/>
    <n v="118088"/>
    <n v="108640.95999999999"/>
  </r>
  <r>
    <s v="ORD1269"/>
    <x v="170"/>
    <x v="3"/>
    <x v="1"/>
    <x v="0"/>
    <s v="Anjali"/>
    <n v="34"/>
    <n v="9"/>
    <n v="24"/>
    <x v="1"/>
    <n v="306"/>
    <n v="232.56"/>
  </r>
  <r>
    <s v="ORD1270"/>
    <x v="196"/>
    <x v="0"/>
    <x v="2"/>
    <x v="0"/>
    <s v="Rahul"/>
    <n v="441"/>
    <n v="7"/>
    <n v="3"/>
    <x v="1"/>
    <n v="3087"/>
    <n v="2994.39"/>
  </r>
  <r>
    <s v="ORD1271"/>
    <x v="78"/>
    <x v="1"/>
    <x v="0"/>
    <x v="1"/>
    <s v="Ravi"/>
    <n v="38305"/>
    <n v="10"/>
    <n v="29"/>
    <x v="0"/>
    <n v="383050"/>
    <n v="271965.5"/>
  </r>
  <r>
    <s v="ORD1274"/>
    <x v="193"/>
    <x v="3"/>
    <x v="1"/>
    <x v="0"/>
    <s v="Amit"/>
    <n v="47757"/>
    <n v="2"/>
    <n v="10"/>
    <x v="2"/>
    <n v="95514"/>
    <n v="85962.6"/>
  </r>
  <r>
    <s v="ORD1275"/>
    <x v="297"/>
    <x v="0"/>
    <x v="1"/>
    <x v="0"/>
    <s v="Sneha"/>
    <n v="38769"/>
    <n v="10"/>
    <n v="3"/>
    <x v="2"/>
    <n v="387690"/>
    <n v="376059.3"/>
  </r>
  <r>
    <s v="ORD1276"/>
    <x v="189"/>
    <x v="2"/>
    <x v="2"/>
    <x v="0"/>
    <s v="Priya"/>
    <n v="4928"/>
    <n v="9"/>
    <n v="6"/>
    <x v="2"/>
    <n v="44352"/>
    <n v="41690.879999999997"/>
  </r>
  <r>
    <s v="ORD1277"/>
    <x v="196"/>
    <x v="0"/>
    <x v="0"/>
    <x v="1"/>
    <s v="Priya"/>
    <n v="7209"/>
    <n v="9"/>
    <n v="9"/>
    <x v="1"/>
    <n v="64881"/>
    <n v="59041.71"/>
  </r>
  <r>
    <s v="ORD1278"/>
    <x v="187"/>
    <x v="2"/>
    <x v="4"/>
    <x v="0"/>
    <s v="Amit"/>
    <n v="11845"/>
    <n v="2"/>
    <n v="12"/>
    <x v="0"/>
    <n v="23690"/>
    <n v="20847.2"/>
  </r>
  <r>
    <s v="ORD1279"/>
    <x v="121"/>
    <x v="3"/>
    <x v="0"/>
    <x v="0"/>
    <s v="Anjali"/>
    <n v="30283"/>
    <n v="3"/>
    <n v="14"/>
    <x v="2"/>
    <n v="90849"/>
    <n v="78130.14"/>
  </r>
  <r>
    <s v="ORD1280"/>
    <x v="243"/>
    <x v="2"/>
    <x v="3"/>
    <x v="1"/>
    <s v="Anjali"/>
    <n v="37626"/>
    <n v="9"/>
    <n v="4"/>
    <x v="1"/>
    <n v="338634"/>
    <n v="325088.64000000001"/>
  </r>
  <r>
    <s v="ORD1281"/>
    <x v="305"/>
    <x v="2"/>
    <x v="2"/>
    <x v="1"/>
    <s v="Anjali"/>
    <n v="13093"/>
    <n v="9"/>
    <n v="0"/>
    <x v="2"/>
    <n v="117837"/>
    <n v="117837"/>
  </r>
  <r>
    <s v="ORD1283"/>
    <x v="318"/>
    <x v="3"/>
    <x v="4"/>
    <x v="1"/>
    <s v="Anjali"/>
    <n v="1018"/>
    <n v="7"/>
    <n v="14"/>
    <x v="2"/>
    <n v="7126"/>
    <n v="6128.36"/>
  </r>
  <r>
    <s v="ORD1284"/>
    <x v="82"/>
    <x v="3"/>
    <x v="2"/>
    <x v="0"/>
    <s v="Ravi"/>
    <n v="40233"/>
    <n v="2"/>
    <n v="6"/>
    <x v="0"/>
    <n v="80466"/>
    <n v="75638.039999999994"/>
  </r>
  <r>
    <s v="ORD1286"/>
    <x v="82"/>
    <x v="3"/>
    <x v="4"/>
    <x v="1"/>
    <s v="Rahul"/>
    <n v="20359"/>
    <n v="7"/>
    <n v="13"/>
    <x v="0"/>
    <n v="142513"/>
    <n v="123986.31"/>
  </r>
  <r>
    <s v="ORD1287"/>
    <x v="327"/>
    <x v="1"/>
    <x v="4"/>
    <x v="1"/>
    <s v="Sneha"/>
    <n v="11457"/>
    <n v="4"/>
    <n v="22"/>
    <x v="2"/>
    <n v="45828"/>
    <n v="35745.839999999997"/>
  </r>
  <r>
    <s v="ORD1289"/>
    <x v="185"/>
    <x v="1"/>
    <x v="3"/>
    <x v="0"/>
    <s v="Ravi"/>
    <n v="31465"/>
    <n v="8"/>
    <n v="15"/>
    <x v="0"/>
    <n v="251720"/>
    <n v="213962"/>
  </r>
  <r>
    <s v="ORD1290"/>
    <x v="30"/>
    <x v="3"/>
    <x v="1"/>
    <x v="1"/>
    <s v="Anjali"/>
    <n v="9442"/>
    <n v="9"/>
    <n v="22"/>
    <x v="0"/>
    <n v="84978"/>
    <n v="66282.84"/>
  </r>
  <r>
    <s v="ORD1292"/>
    <x v="18"/>
    <x v="2"/>
    <x v="3"/>
    <x v="1"/>
    <s v="Anjali"/>
    <n v="39778"/>
    <n v="4"/>
    <n v="28"/>
    <x v="1"/>
    <n v="159112"/>
    <n v="114560.64"/>
  </r>
  <r>
    <s v="ORD1294"/>
    <x v="343"/>
    <x v="0"/>
    <x v="3"/>
    <x v="1"/>
    <s v="Priya"/>
    <n v="26789"/>
    <n v="1"/>
    <n v="3"/>
    <x v="1"/>
    <n v="26789"/>
    <n v="25985.33"/>
  </r>
  <r>
    <s v="ORD1295"/>
    <x v="143"/>
    <x v="0"/>
    <x v="3"/>
    <x v="0"/>
    <s v="Rahul"/>
    <n v="30415"/>
    <n v="5"/>
    <n v="18"/>
    <x v="0"/>
    <n v="152075"/>
    <n v="124701.5"/>
  </r>
  <r>
    <s v="ORD1296"/>
    <x v="219"/>
    <x v="3"/>
    <x v="1"/>
    <x v="0"/>
    <s v="Amit"/>
    <n v="27842"/>
    <n v="2"/>
    <n v="1"/>
    <x v="1"/>
    <n v="55684"/>
    <n v="55127.16"/>
  </r>
  <r>
    <s v="ORD1297"/>
    <x v="127"/>
    <x v="2"/>
    <x v="0"/>
    <x v="0"/>
    <s v="Anjali"/>
    <n v="27648"/>
    <n v="10"/>
    <n v="7"/>
    <x v="0"/>
    <n v="276480"/>
    <n v="257126.39999999999"/>
  </r>
  <r>
    <s v="ORD1299"/>
    <x v="182"/>
    <x v="3"/>
    <x v="0"/>
    <x v="1"/>
    <s v="Priya"/>
    <n v="41794"/>
    <n v="3"/>
    <n v="29"/>
    <x v="1"/>
    <n v="125382"/>
    <n v="89021.22"/>
  </r>
  <r>
    <s v="ORD1300"/>
    <x v="31"/>
    <x v="1"/>
    <x v="2"/>
    <x v="0"/>
    <s v="Rahul"/>
    <n v="13605"/>
    <n v="9"/>
    <n v="28"/>
    <x v="1"/>
    <n v="122445"/>
    <n v="88160.4"/>
  </r>
  <r>
    <s v="ORD1302"/>
    <x v="333"/>
    <x v="1"/>
    <x v="3"/>
    <x v="0"/>
    <s v="Rahul"/>
    <n v="33283"/>
    <n v="8"/>
    <n v="18"/>
    <x v="1"/>
    <n v="266264"/>
    <n v="218336.48"/>
  </r>
  <r>
    <s v="ORD1303"/>
    <x v="325"/>
    <x v="3"/>
    <x v="4"/>
    <x v="1"/>
    <s v="Priya"/>
    <n v="47929"/>
    <n v="4"/>
    <n v="1"/>
    <x v="1"/>
    <n v="191716"/>
    <n v="189798.84"/>
  </r>
  <r>
    <s v="ORD1304"/>
    <x v="246"/>
    <x v="2"/>
    <x v="0"/>
    <x v="1"/>
    <s v="Anjali"/>
    <n v="35767"/>
    <n v="7"/>
    <n v="18"/>
    <x v="0"/>
    <n v="250369"/>
    <n v="205302.58000000002"/>
  </r>
  <r>
    <s v="ORD1305"/>
    <x v="166"/>
    <x v="0"/>
    <x v="0"/>
    <x v="0"/>
    <s v="Sneha"/>
    <n v="20390"/>
    <n v="4"/>
    <n v="23"/>
    <x v="1"/>
    <n v="81560"/>
    <n v="62801.2"/>
  </r>
  <r>
    <s v="ORD1306"/>
    <x v="75"/>
    <x v="1"/>
    <x v="0"/>
    <x v="0"/>
    <s v="Priya"/>
    <n v="44004"/>
    <n v="5"/>
    <n v="16"/>
    <x v="2"/>
    <n v="220020"/>
    <n v="184816.8"/>
  </r>
  <r>
    <s v="ORD1307"/>
    <x v="95"/>
    <x v="1"/>
    <x v="3"/>
    <x v="0"/>
    <s v="Kiran"/>
    <n v="22064"/>
    <n v="4"/>
    <n v="5"/>
    <x v="2"/>
    <n v="88256"/>
    <n v="83843.199999999997"/>
  </r>
  <r>
    <s v="ORD1308"/>
    <x v="145"/>
    <x v="0"/>
    <x v="2"/>
    <x v="1"/>
    <s v="Anjali"/>
    <n v="40704"/>
    <n v="10"/>
    <n v="3"/>
    <x v="1"/>
    <n v="407040"/>
    <n v="394828.79999999999"/>
  </r>
  <r>
    <s v="ORD1309"/>
    <x v="184"/>
    <x v="2"/>
    <x v="1"/>
    <x v="0"/>
    <s v="Anjali"/>
    <n v="40480"/>
    <n v="7"/>
    <n v="4"/>
    <x v="2"/>
    <n v="283360"/>
    <n v="272025.59999999998"/>
  </r>
  <r>
    <s v="ORD1310"/>
    <x v="88"/>
    <x v="0"/>
    <x v="0"/>
    <x v="0"/>
    <s v="Rahul"/>
    <n v="15405"/>
    <n v="5"/>
    <n v="17"/>
    <x v="0"/>
    <n v="77025"/>
    <n v="63930.75"/>
  </r>
  <r>
    <s v="ORD1311"/>
    <x v="321"/>
    <x v="0"/>
    <x v="0"/>
    <x v="0"/>
    <s v="Ravi"/>
    <n v="39261"/>
    <n v="10"/>
    <n v="23"/>
    <x v="1"/>
    <n v="392610"/>
    <n v="302309.7"/>
  </r>
  <r>
    <s v="ORD1312"/>
    <x v="31"/>
    <x v="2"/>
    <x v="2"/>
    <x v="0"/>
    <s v="Anjali"/>
    <n v="29546"/>
    <n v="10"/>
    <n v="10"/>
    <x v="0"/>
    <n v="295460"/>
    <n v="265914"/>
  </r>
  <r>
    <s v="ORD1313"/>
    <x v="169"/>
    <x v="2"/>
    <x v="3"/>
    <x v="1"/>
    <s v="Amit"/>
    <n v="1955"/>
    <n v="9"/>
    <n v="17"/>
    <x v="2"/>
    <n v="17595"/>
    <n v="14603.85"/>
  </r>
  <r>
    <s v="ORD1314"/>
    <x v="116"/>
    <x v="3"/>
    <x v="0"/>
    <x v="0"/>
    <s v="Sneha"/>
    <n v="17458"/>
    <n v="8"/>
    <n v="24"/>
    <x v="1"/>
    <n v="139664"/>
    <n v="106144.64"/>
  </r>
  <r>
    <s v="ORD1315"/>
    <x v="71"/>
    <x v="1"/>
    <x v="0"/>
    <x v="1"/>
    <s v="Kiran"/>
    <n v="34409"/>
    <n v="6"/>
    <n v="3"/>
    <x v="1"/>
    <n v="206454"/>
    <n v="200260.38"/>
  </r>
  <r>
    <s v="ORD1316"/>
    <x v="244"/>
    <x v="0"/>
    <x v="4"/>
    <x v="1"/>
    <s v="Rahul"/>
    <n v="18208"/>
    <n v="5"/>
    <n v="4"/>
    <x v="1"/>
    <n v="91040"/>
    <n v="87398.399999999994"/>
  </r>
  <r>
    <s v="ORD1317"/>
    <x v="340"/>
    <x v="2"/>
    <x v="1"/>
    <x v="1"/>
    <s v="Rahul"/>
    <n v="4361"/>
    <n v="9"/>
    <n v="21"/>
    <x v="1"/>
    <n v="39249"/>
    <n v="31006.71"/>
  </r>
  <r>
    <s v="ORD1320"/>
    <x v="118"/>
    <x v="1"/>
    <x v="0"/>
    <x v="1"/>
    <s v="Sneha"/>
    <n v="45620"/>
    <n v="9"/>
    <n v="25"/>
    <x v="1"/>
    <n v="410580"/>
    <n v="307935"/>
  </r>
  <r>
    <s v="ORD1321"/>
    <x v="8"/>
    <x v="2"/>
    <x v="1"/>
    <x v="1"/>
    <s v="Amit"/>
    <n v="39783"/>
    <n v="4"/>
    <n v="21"/>
    <x v="0"/>
    <n v="159132"/>
    <n v="125714.28"/>
  </r>
  <r>
    <s v="ORD1322"/>
    <x v="138"/>
    <x v="3"/>
    <x v="3"/>
    <x v="0"/>
    <s v="Kiran"/>
    <n v="48936"/>
    <n v="3"/>
    <n v="11"/>
    <x v="2"/>
    <n v="146808"/>
    <n v="130659.12"/>
  </r>
  <r>
    <s v="ORD1323"/>
    <x v="157"/>
    <x v="2"/>
    <x v="2"/>
    <x v="1"/>
    <s v="Anjali"/>
    <n v="40298"/>
    <n v="9"/>
    <n v="30"/>
    <x v="2"/>
    <n v="362682"/>
    <n v="253877.4"/>
  </r>
  <r>
    <s v="ORD1325"/>
    <x v="295"/>
    <x v="3"/>
    <x v="0"/>
    <x v="0"/>
    <s v="Amit"/>
    <n v="45328"/>
    <n v="4"/>
    <n v="19"/>
    <x v="0"/>
    <n v="181312"/>
    <n v="146862.72"/>
  </r>
  <r>
    <s v="ORD1326"/>
    <x v="34"/>
    <x v="2"/>
    <x v="2"/>
    <x v="0"/>
    <s v="Sneha"/>
    <n v="21081"/>
    <n v="5"/>
    <n v="17"/>
    <x v="0"/>
    <n v="105405"/>
    <n v="87486.15"/>
  </r>
  <r>
    <s v="ORD1327"/>
    <x v="171"/>
    <x v="1"/>
    <x v="3"/>
    <x v="1"/>
    <s v="Ravi"/>
    <n v="38378"/>
    <n v="8"/>
    <n v="13"/>
    <x v="2"/>
    <n v="307024"/>
    <n v="267110.88"/>
  </r>
  <r>
    <s v="ORD1328"/>
    <x v="320"/>
    <x v="3"/>
    <x v="0"/>
    <x v="1"/>
    <s v="Ravi"/>
    <n v="29311"/>
    <n v="1"/>
    <n v="10"/>
    <x v="2"/>
    <n v="29311"/>
    <n v="26379.9"/>
  </r>
  <r>
    <s v="ORD1329"/>
    <x v="270"/>
    <x v="3"/>
    <x v="2"/>
    <x v="0"/>
    <s v="Kiran"/>
    <n v="30404"/>
    <n v="9"/>
    <n v="8"/>
    <x v="1"/>
    <n v="273636"/>
    <n v="251745.12"/>
  </r>
  <r>
    <s v="ORD1330"/>
    <x v="30"/>
    <x v="3"/>
    <x v="2"/>
    <x v="1"/>
    <s v="Sneha"/>
    <n v="46387"/>
    <n v="10"/>
    <n v="21"/>
    <x v="2"/>
    <n v="463870"/>
    <n v="366457.3"/>
  </r>
  <r>
    <s v="ORD1331"/>
    <x v="29"/>
    <x v="1"/>
    <x v="2"/>
    <x v="0"/>
    <s v="Priya"/>
    <n v="26940"/>
    <n v="5"/>
    <n v="30"/>
    <x v="1"/>
    <n v="134700"/>
    <n v="94290"/>
  </r>
  <r>
    <s v="ORD1333"/>
    <x v="309"/>
    <x v="0"/>
    <x v="3"/>
    <x v="1"/>
    <s v="Amit"/>
    <n v="37110"/>
    <n v="10"/>
    <n v="25"/>
    <x v="2"/>
    <n v="371100"/>
    <n v="278325"/>
  </r>
  <r>
    <s v="ORD1334"/>
    <x v="261"/>
    <x v="2"/>
    <x v="0"/>
    <x v="0"/>
    <s v="Ravi"/>
    <n v="21914"/>
    <n v="4"/>
    <n v="10"/>
    <x v="1"/>
    <n v="87656"/>
    <n v="78890.399999999994"/>
  </r>
  <r>
    <s v="ORD1335"/>
    <x v="179"/>
    <x v="1"/>
    <x v="2"/>
    <x v="1"/>
    <s v="Amit"/>
    <n v="41319"/>
    <n v="8"/>
    <n v="3"/>
    <x v="2"/>
    <n v="330552"/>
    <n v="320635.44"/>
  </r>
  <r>
    <s v="ORD1336"/>
    <x v="285"/>
    <x v="0"/>
    <x v="2"/>
    <x v="0"/>
    <s v="Ravi"/>
    <n v="9962"/>
    <n v="1"/>
    <n v="20"/>
    <x v="2"/>
    <n v="9962"/>
    <n v="7969.6"/>
  </r>
  <r>
    <s v="ORD1338"/>
    <x v="119"/>
    <x v="2"/>
    <x v="0"/>
    <x v="1"/>
    <s v="Sneha"/>
    <n v="35110"/>
    <n v="8"/>
    <n v="19"/>
    <x v="2"/>
    <n v="280880"/>
    <n v="227512.8"/>
  </r>
  <r>
    <s v="ORD1339"/>
    <x v="135"/>
    <x v="3"/>
    <x v="3"/>
    <x v="0"/>
    <s v="Sneha"/>
    <n v="20522"/>
    <n v="6"/>
    <n v="11"/>
    <x v="0"/>
    <n v="123132"/>
    <n v="109587.48"/>
  </r>
  <r>
    <s v="ORD1340"/>
    <x v="301"/>
    <x v="3"/>
    <x v="2"/>
    <x v="0"/>
    <s v="Kiran"/>
    <n v="29614"/>
    <n v="9"/>
    <n v="20"/>
    <x v="2"/>
    <n v="266526"/>
    <n v="213220.8"/>
  </r>
  <r>
    <s v="ORD1342"/>
    <x v="317"/>
    <x v="3"/>
    <x v="4"/>
    <x v="0"/>
    <s v="Rahul"/>
    <n v="2587"/>
    <n v="4"/>
    <n v="30"/>
    <x v="2"/>
    <n v="10348"/>
    <n v="7243.6"/>
  </r>
  <r>
    <s v="ORD1343"/>
    <x v="226"/>
    <x v="0"/>
    <x v="2"/>
    <x v="1"/>
    <s v="Sneha"/>
    <n v="8676"/>
    <n v="3"/>
    <n v="25"/>
    <x v="2"/>
    <n v="26028"/>
    <n v="19521"/>
  </r>
  <r>
    <s v="ORD1345"/>
    <x v="155"/>
    <x v="0"/>
    <x v="3"/>
    <x v="0"/>
    <s v="Kiran"/>
    <n v="13596"/>
    <n v="7"/>
    <n v="3"/>
    <x v="1"/>
    <n v="95172"/>
    <n v="92316.84"/>
  </r>
  <r>
    <s v="ORD1346"/>
    <x v="0"/>
    <x v="3"/>
    <x v="3"/>
    <x v="1"/>
    <s v="Anjali"/>
    <n v="30238"/>
    <n v="6"/>
    <n v="30"/>
    <x v="2"/>
    <n v="181428"/>
    <n v="126999.6"/>
  </r>
  <r>
    <s v="ORD1347"/>
    <x v="276"/>
    <x v="3"/>
    <x v="1"/>
    <x v="1"/>
    <s v="Amit"/>
    <n v="22040"/>
    <n v="3"/>
    <n v="29"/>
    <x v="1"/>
    <n v="66120"/>
    <n v="46945.2"/>
  </r>
  <r>
    <s v="ORD1349"/>
    <x v="350"/>
    <x v="3"/>
    <x v="4"/>
    <x v="0"/>
    <s v="Anjali"/>
    <n v="15831"/>
    <n v="2"/>
    <n v="21"/>
    <x v="1"/>
    <n v="31662"/>
    <n v="25012.98"/>
  </r>
  <r>
    <s v="ORD1352"/>
    <x v="105"/>
    <x v="1"/>
    <x v="4"/>
    <x v="1"/>
    <s v="Sneha"/>
    <n v="14774"/>
    <n v="3"/>
    <n v="19"/>
    <x v="1"/>
    <n v="44322"/>
    <n v="35900.82"/>
  </r>
  <r>
    <s v="ORD1353"/>
    <x v="93"/>
    <x v="2"/>
    <x v="1"/>
    <x v="0"/>
    <s v="Kiran"/>
    <n v="48254"/>
    <n v="10"/>
    <n v="19"/>
    <x v="0"/>
    <n v="482540"/>
    <n v="390857.4"/>
  </r>
  <r>
    <s v="ORD1354"/>
    <x v="33"/>
    <x v="1"/>
    <x v="3"/>
    <x v="1"/>
    <s v="Anjali"/>
    <n v="27392"/>
    <n v="10"/>
    <n v="26"/>
    <x v="1"/>
    <n v="273920"/>
    <n v="202700.79999999999"/>
  </r>
  <r>
    <s v="ORD1355"/>
    <x v="143"/>
    <x v="3"/>
    <x v="2"/>
    <x v="1"/>
    <s v="Ravi"/>
    <n v="13379"/>
    <n v="10"/>
    <n v="28"/>
    <x v="2"/>
    <n v="133790"/>
    <n v="96328.8"/>
  </r>
  <r>
    <s v="ORD1356"/>
    <x v="204"/>
    <x v="3"/>
    <x v="3"/>
    <x v="0"/>
    <s v="Ravi"/>
    <n v="7256"/>
    <n v="1"/>
    <n v="9"/>
    <x v="2"/>
    <n v="7256"/>
    <n v="6602.96"/>
  </r>
  <r>
    <s v="ORD1357"/>
    <x v="251"/>
    <x v="2"/>
    <x v="1"/>
    <x v="1"/>
    <s v="Amit"/>
    <n v="23750"/>
    <n v="9"/>
    <n v="12"/>
    <x v="0"/>
    <n v="213750"/>
    <n v="188100"/>
  </r>
  <r>
    <s v="ORD1359"/>
    <x v="96"/>
    <x v="0"/>
    <x v="0"/>
    <x v="1"/>
    <s v="Rahul"/>
    <n v="41060"/>
    <n v="3"/>
    <n v="6"/>
    <x v="0"/>
    <n v="123180"/>
    <n v="115789.2"/>
  </r>
  <r>
    <s v="ORD1363"/>
    <x v="278"/>
    <x v="0"/>
    <x v="2"/>
    <x v="1"/>
    <s v="Sneha"/>
    <n v="40806"/>
    <n v="5"/>
    <n v="13"/>
    <x v="0"/>
    <n v="204030"/>
    <n v="177506.1"/>
  </r>
  <r>
    <s v="ORD1364"/>
    <x v="302"/>
    <x v="0"/>
    <x v="0"/>
    <x v="1"/>
    <s v="Sneha"/>
    <n v="32977"/>
    <n v="5"/>
    <n v="29"/>
    <x v="1"/>
    <n v="164885"/>
    <n v="117068.35"/>
  </r>
  <r>
    <s v="ORD1365"/>
    <x v="56"/>
    <x v="3"/>
    <x v="3"/>
    <x v="1"/>
    <s v="Rahul"/>
    <n v="32695"/>
    <n v="2"/>
    <n v="17"/>
    <x v="0"/>
    <n v="65390"/>
    <n v="54273.7"/>
  </r>
  <r>
    <s v="ORD1366"/>
    <x v="53"/>
    <x v="1"/>
    <x v="1"/>
    <x v="0"/>
    <s v="Anjali"/>
    <n v="38746"/>
    <n v="1"/>
    <n v="3"/>
    <x v="1"/>
    <n v="38746"/>
    <n v="37583.620000000003"/>
  </r>
  <r>
    <s v="ORD1367"/>
    <x v="301"/>
    <x v="0"/>
    <x v="3"/>
    <x v="0"/>
    <s v="Ravi"/>
    <n v="17371"/>
    <n v="6"/>
    <n v="7"/>
    <x v="1"/>
    <n v="104226"/>
    <n v="96930.18"/>
  </r>
  <r>
    <s v="ORD1368"/>
    <x v="266"/>
    <x v="3"/>
    <x v="4"/>
    <x v="0"/>
    <s v="Kiran"/>
    <n v="26465"/>
    <n v="3"/>
    <n v="3"/>
    <x v="0"/>
    <n v="79395"/>
    <n v="77013.149999999994"/>
  </r>
  <r>
    <s v="ORD1369"/>
    <x v="332"/>
    <x v="1"/>
    <x v="4"/>
    <x v="1"/>
    <s v="Kiran"/>
    <n v="5463"/>
    <n v="10"/>
    <n v="9"/>
    <x v="1"/>
    <n v="54630"/>
    <n v="49713.3"/>
  </r>
  <r>
    <s v="ORD1370"/>
    <x v="278"/>
    <x v="2"/>
    <x v="3"/>
    <x v="1"/>
    <s v="Priya"/>
    <n v="12776"/>
    <n v="8"/>
    <n v="23"/>
    <x v="0"/>
    <n v="102208"/>
    <n v="78700.160000000003"/>
  </r>
  <r>
    <s v="ORD1373"/>
    <x v="129"/>
    <x v="1"/>
    <x v="4"/>
    <x v="0"/>
    <s v="Sneha"/>
    <n v="9228"/>
    <n v="6"/>
    <n v="15"/>
    <x v="0"/>
    <n v="55368"/>
    <n v="47062.8"/>
  </r>
  <r>
    <s v="ORD1374"/>
    <x v="332"/>
    <x v="3"/>
    <x v="0"/>
    <x v="0"/>
    <s v="Rahul"/>
    <n v="22247"/>
    <n v="8"/>
    <n v="27"/>
    <x v="2"/>
    <n v="177976"/>
    <n v="129922.48000000001"/>
  </r>
  <r>
    <s v="ORD1375"/>
    <x v="245"/>
    <x v="3"/>
    <x v="1"/>
    <x v="1"/>
    <s v="Amit"/>
    <n v="40772"/>
    <n v="6"/>
    <n v="6"/>
    <x v="2"/>
    <n v="244632"/>
    <n v="229954.08"/>
  </r>
  <r>
    <s v="ORD1376"/>
    <x v="281"/>
    <x v="3"/>
    <x v="1"/>
    <x v="1"/>
    <s v="Kiran"/>
    <n v="15806"/>
    <n v="1"/>
    <n v="8"/>
    <x v="0"/>
    <n v="15806"/>
    <n v="14541.52"/>
  </r>
  <r>
    <s v="ORD1377"/>
    <x v="116"/>
    <x v="3"/>
    <x v="0"/>
    <x v="1"/>
    <s v="Kiran"/>
    <n v="37788"/>
    <n v="2"/>
    <n v="24"/>
    <x v="2"/>
    <n v="75576"/>
    <n v="57437.759999999995"/>
  </r>
  <r>
    <s v="ORD1379"/>
    <x v="253"/>
    <x v="0"/>
    <x v="4"/>
    <x v="0"/>
    <s v="Sneha"/>
    <n v="29048"/>
    <n v="6"/>
    <n v="20"/>
    <x v="1"/>
    <n v="174288"/>
    <n v="139430.39999999999"/>
  </r>
  <r>
    <s v="ORD1380"/>
    <x v="351"/>
    <x v="3"/>
    <x v="1"/>
    <x v="1"/>
    <s v="Priya"/>
    <n v="12617"/>
    <n v="9"/>
    <n v="20"/>
    <x v="2"/>
    <n v="113553"/>
    <n v="90842.4"/>
  </r>
  <r>
    <s v="ORD1381"/>
    <x v="106"/>
    <x v="2"/>
    <x v="0"/>
    <x v="0"/>
    <s v="Amit"/>
    <n v="35969"/>
    <n v="5"/>
    <n v="24"/>
    <x v="1"/>
    <n v="179845"/>
    <n v="136682.20000000001"/>
  </r>
  <r>
    <s v="ORD1382"/>
    <x v="107"/>
    <x v="1"/>
    <x v="4"/>
    <x v="0"/>
    <s v="Amit"/>
    <n v="2821"/>
    <n v="2"/>
    <n v="20"/>
    <x v="2"/>
    <n v="5642"/>
    <n v="4513.6000000000004"/>
  </r>
  <r>
    <s v="ORD1383"/>
    <x v="244"/>
    <x v="3"/>
    <x v="3"/>
    <x v="1"/>
    <s v="Priya"/>
    <n v="32704"/>
    <n v="8"/>
    <n v="11"/>
    <x v="1"/>
    <n v="261632"/>
    <n v="232852.48000000001"/>
  </r>
  <r>
    <s v="ORD1384"/>
    <x v="23"/>
    <x v="2"/>
    <x v="1"/>
    <x v="1"/>
    <s v="Priya"/>
    <n v="49519"/>
    <n v="2"/>
    <n v="28"/>
    <x v="1"/>
    <n v="99038"/>
    <n v="71307.360000000001"/>
  </r>
  <r>
    <s v="ORD1385"/>
    <x v="71"/>
    <x v="2"/>
    <x v="0"/>
    <x v="0"/>
    <s v="Kiran"/>
    <n v="8722"/>
    <n v="4"/>
    <n v="18"/>
    <x v="2"/>
    <n v="34888"/>
    <n v="28608.16"/>
  </r>
  <r>
    <s v="ORD1386"/>
    <x v="277"/>
    <x v="1"/>
    <x v="4"/>
    <x v="0"/>
    <s v="Sneha"/>
    <n v="32857"/>
    <n v="3"/>
    <n v="26"/>
    <x v="1"/>
    <n v="98571"/>
    <n v="72942.540000000008"/>
  </r>
  <r>
    <s v="ORD1387"/>
    <x v="21"/>
    <x v="0"/>
    <x v="2"/>
    <x v="0"/>
    <s v="Rahul"/>
    <n v="41534"/>
    <n v="7"/>
    <n v="28"/>
    <x v="1"/>
    <n v="290738"/>
    <n v="209331.36"/>
  </r>
  <r>
    <s v="ORD1388"/>
    <x v="275"/>
    <x v="0"/>
    <x v="0"/>
    <x v="0"/>
    <s v="Sneha"/>
    <n v="32547"/>
    <n v="10"/>
    <n v="2"/>
    <x v="0"/>
    <n v="325470"/>
    <n v="318960.59999999998"/>
  </r>
  <r>
    <s v="ORD1389"/>
    <x v="77"/>
    <x v="0"/>
    <x v="2"/>
    <x v="0"/>
    <s v="Rahul"/>
    <n v="35846"/>
    <n v="1"/>
    <n v="25"/>
    <x v="0"/>
    <n v="35846"/>
    <n v="26884.5"/>
  </r>
  <r>
    <s v="ORD1390"/>
    <x v="62"/>
    <x v="0"/>
    <x v="0"/>
    <x v="0"/>
    <s v="Priya"/>
    <n v="2583"/>
    <n v="10"/>
    <n v="4"/>
    <x v="2"/>
    <n v="25830"/>
    <n v="24796.799999999999"/>
  </r>
  <r>
    <s v="ORD1392"/>
    <x v="142"/>
    <x v="0"/>
    <x v="3"/>
    <x v="0"/>
    <s v="Kiran"/>
    <n v="3253"/>
    <n v="8"/>
    <n v="17"/>
    <x v="1"/>
    <n v="26024"/>
    <n v="21599.919999999998"/>
  </r>
  <r>
    <s v="ORD1394"/>
    <x v="184"/>
    <x v="2"/>
    <x v="1"/>
    <x v="0"/>
    <s v="Rahul"/>
    <n v="4996"/>
    <n v="1"/>
    <n v="12"/>
    <x v="0"/>
    <n v="4996"/>
    <n v="4396.4799999999996"/>
  </r>
  <r>
    <s v="ORD1395"/>
    <x v="286"/>
    <x v="1"/>
    <x v="4"/>
    <x v="0"/>
    <s v="Anjali"/>
    <n v="47884"/>
    <n v="10"/>
    <n v="13"/>
    <x v="2"/>
    <n v="478840"/>
    <n v="416590.8"/>
  </r>
  <r>
    <s v="ORD1397"/>
    <x v="1"/>
    <x v="2"/>
    <x v="2"/>
    <x v="0"/>
    <s v="Priya"/>
    <n v="10344"/>
    <n v="6"/>
    <n v="18"/>
    <x v="2"/>
    <n v="62064"/>
    <n v="50892.479999999996"/>
  </r>
  <r>
    <s v="ORD1398"/>
    <x v="209"/>
    <x v="2"/>
    <x v="2"/>
    <x v="0"/>
    <s v="Priya"/>
    <n v="22666"/>
    <n v="3"/>
    <n v="27"/>
    <x v="1"/>
    <n v="67998"/>
    <n v="49638.54"/>
  </r>
  <r>
    <s v="ORD1399"/>
    <x v="27"/>
    <x v="1"/>
    <x v="2"/>
    <x v="0"/>
    <s v="Ravi"/>
    <n v="24083"/>
    <n v="9"/>
    <n v="11"/>
    <x v="1"/>
    <n v="216747"/>
    <n v="192904.83000000002"/>
  </r>
  <r>
    <s v="ORD1400"/>
    <x v="252"/>
    <x v="0"/>
    <x v="1"/>
    <x v="0"/>
    <s v="Kiran"/>
    <n v="7397"/>
    <n v="2"/>
    <n v="3"/>
    <x v="0"/>
    <n v="14794"/>
    <n v="14350.18"/>
  </r>
  <r>
    <s v="ORD1403"/>
    <x v="174"/>
    <x v="1"/>
    <x v="1"/>
    <x v="1"/>
    <s v="Sneha"/>
    <n v="40832"/>
    <n v="7"/>
    <n v="6"/>
    <x v="2"/>
    <n v="285824"/>
    <n v="268674.56"/>
  </r>
  <r>
    <s v="ORD1404"/>
    <x v="21"/>
    <x v="1"/>
    <x v="4"/>
    <x v="0"/>
    <s v="Ravi"/>
    <n v="22069"/>
    <n v="1"/>
    <n v="1"/>
    <x v="2"/>
    <n v="22069"/>
    <n v="21848.31"/>
  </r>
  <r>
    <s v="ORD1405"/>
    <x v="219"/>
    <x v="0"/>
    <x v="0"/>
    <x v="1"/>
    <s v="Amit"/>
    <n v="10754"/>
    <n v="10"/>
    <n v="1"/>
    <x v="1"/>
    <n v="107540"/>
    <n v="106464.6"/>
  </r>
  <r>
    <s v="ORD1406"/>
    <x v="290"/>
    <x v="1"/>
    <x v="0"/>
    <x v="1"/>
    <s v="Sneha"/>
    <n v="1417"/>
    <n v="4"/>
    <n v="5"/>
    <x v="1"/>
    <n v="5668"/>
    <n v="5384.6"/>
  </r>
  <r>
    <s v="ORD1407"/>
    <x v="57"/>
    <x v="0"/>
    <x v="4"/>
    <x v="1"/>
    <s v="Priya"/>
    <n v="13835"/>
    <n v="9"/>
    <n v="8"/>
    <x v="2"/>
    <n v="124515"/>
    <n v="114553.8"/>
  </r>
  <r>
    <s v="ORD1408"/>
    <x v="151"/>
    <x v="0"/>
    <x v="4"/>
    <x v="0"/>
    <s v="Amit"/>
    <n v="34390"/>
    <n v="7"/>
    <n v="30"/>
    <x v="0"/>
    <n v="240730"/>
    <n v="168511"/>
  </r>
  <r>
    <s v="ORD1411"/>
    <x v="336"/>
    <x v="3"/>
    <x v="1"/>
    <x v="1"/>
    <s v="Priya"/>
    <n v="3845"/>
    <n v="7"/>
    <n v="0"/>
    <x v="0"/>
    <n v="26915"/>
    <n v="26915"/>
  </r>
  <r>
    <s v="ORD1412"/>
    <x v="96"/>
    <x v="0"/>
    <x v="1"/>
    <x v="1"/>
    <s v="Kiran"/>
    <n v="42017"/>
    <n v="9"/>
    <n v="7"/>
    <x v="2"/>
    <n v="378153"/>
    <n v="351682.29"/>
  </r>
  <r>
    <s v="ORD1413"/>
    <x v="20"/>
    <x v="3"/>
    <x v="3"/>
    <x v="0"/>
    <s v="Rahul"/>
    <n v="31446"/>
    <n v="6"/>
    <n v="15"/>
    <x v="0"/>
    <n v="188676"/>
    <n v="160374.6"/>
  </r>
  <r>
    <s v="ORD1414"/>
    <x v="277"/>
    <x v="1"/>
    <x v="2"/>
    <x v="0"/>
    <s v="Rahul"/>
    <n v="18324"/>
    <n v="6"/>
    <n v="26"/>
    <x v="2"/>
    <n v="109944"/>
    <n v="81358.559999999998"/>
  </r>
  <r>
    <s v="ORD1416"/>
    <x v="343"/>
    <x v="1"/>
    <x v="1"/>
    <x v="1"/>
    <s v="Kiran"/>
    <n v="26882"/>
    <n v="10"/>
    <n v="17"/>
    <x v="0"/>
    <n v="268820"/>
    <n v="223120.6"/>
  </r>
  <r>
    <s v="ORD1417"/>
    <x v="74"/>
    <x v="1"/>
    <x v="2"/>
    <x v="0"/>
    <s v="Ravi"/>
    <n v="4482"/>
    <n v="5"/>
    <n v="25"/>
    <x v="2"/>
    <n v="22410"/>
    <n v="16807.5"/>
  </r>
  <r>
    <s v="ORD1418"/>
    <x v="26"/>
    <x v="2"/>
    <x v="0"/>
    <x v="0"/>
    <s v="Ravi"/>
    <n v="6203"/>
    <n v="3"/>
    <n v="14"/>
    <x v="1"/>
    <n v="18609"/>
    <n v="16003.74"/>
  </r>
  <r>
    <s v="ORD1419"/>
    <x v="163"/>
    <x v="0"/>
    <x v="1"/>
    <x v="1"/>
    <s v="Kiran"/>
    <n v="28650"/>
    <n v="10"/>
    <n v="13"/>
    <x v="2"/>
    <n v="286500"/>
    <n v="249255"/>
  </r>
  <r>
    <s v="ORD1421"/>
    <x v="90"/>
    <x v="1"/>
    <x v="3"/>
    <x v="0"/>
    <s v="Amit"/>
    <n v="32962"/>
    <n v="2"/>
    <n v="15"/>
    <x v="0"/>
    <n v="65924"/>
    <n v="56035.4"/>
  </r>
  <r>
    <s v="ORD1422"/>
    <x v="165"/>
    <x v="1"/>
    <x v="0"/>
    <x v="1"/>
    <s v="Anjali"/>
    <n v="14886"/>
    <n v="7"/>
    <n v="9"/>
    <x v="2"/>
    <n v="104202"/>
    <n v="94823.82"/>
  </r>
  <r>
    <s v="ORD1424"/>
    <x v="99"/>
    <x v="2"/>
    <x v="1"/>
    <x v="1"/>
    <s v="Amit"/>
    <n v="24050"/>
    <n v="7"/>
    <n v="12"/>
    <x v="1"/>
    <n v="168350"/>
    <n v="148148"/>
  </r>
  <r>
    <s v="ORD1425"/>
    <x v="327"/>
    <x v="1"/>
    <x v="3"/>
    <x v="0"/>
    <s v="Amit"/>
    <n v="48392"/>
    <n v="10"/>
    <n v="11"/>
    <x v="0"/>
    <n v="483920"/>
    <n v="430688.8"/>
  </r>
  <r>
    <s v="ORD1426"/>
    <x v="330"/>
    <x v="1"/>
    <x v="1"/>
    <x v="1"/>
    <s v="Ravi"/>
    <n v="47822"/>
    <n v="2"/>
    <n v="1"/>
    <x v="1"/>
    <n v="95644"/>
    <n v="94687.56"/>
  </r>
  <r>
    <s v="ORD1427"/>
    <x v="212"/>
    <x v="0"/>
    <x v="2"/>
    <x v="1"/>
    <s v="Sneha"/>
    <n v="24506"/>
    <n v="10"/>
    <n v="30"/>
    <x v="1"/>
    <n v="245060"/>
    <n v="171542"/>
  </r>
  <r>
    <s v="ORD1428"/>
    <x v="333"/>
    <x v="2"/>
    <x v="1"/>
    <x v="0"/>
    <s v="Rahul"/>
    <n v="46067"/>
    <n v="4"/>
    <n v="8"/>
    <x v="1"/>
    <n v="184268"/>
    <n v="169526.56"/>
  </r>
  <r>
    <s v="ORD1429"/>
    <x v="115"/>
    <x v="3"/>
    <x v="1"/>
    <x v="0"/>
    <s v="Rahul"/>
    <n v="33261"/>
    <n v="2"/>
    <n v="3"/>
    <x v="1"/>
    <n v="66522"/>
    <n v="64526.34"/>
  </r>
  <r>
    <s v="ORD1430"/>
    <x v="94"/>
    <x v="0"/>
    <x v="3"/>
    <x v="1"/>
    <s v="Ravi"/>
    <n v="25937"/>
    <n v="7"/>
    <n v="20"/>
    <x v="1"/>
    <n v="181559"/>
    <n v="145247.20000000001"/>
  </r>
  <r>
    <s v="ORD1431"/>
    <x v="56"/>
    <x v="3"/>
    <x v="1"/>
    <x v="1"/>
    <s v="Ravi"/>
    <n v="25102"/>
    <n v="5"/>
    <n v="29"/>
    <x v="1"/>
    <n v="125510"/>
    <n v="89112.1"/>
  </r>
  <r>
    <s v="ORD1432"/>
    <x v="31"/>
    <x v="1"/>
    <x v="2"/>
    <x v="1"/>
    <s v="Rahul"/>
    <n v="12552"/>
    <n v="5"/>
    <n v="10"/>
    <x v="0"/>
    <n v="62760"/>
    <n v="56484"/>
  </r>
  <r>
    <s v="ORD1433"/>
    <x v="27"/>
    <x v="3"/>
    <x v="3"/>
    <x v="0"/>
    <s v="Sneha"/>
    <n v="41764"/>
    <n v="2"/>
    <n v="1"/>
    <x v="2"/>
    <n v="83528"/>
    <n v="82692.72"/>
  </r>
  <r>
    <s v="ORD1434"/>
    <x v="6"/>
    <x v="0"/>
    <x v="4"/>
    <x v="0"/>
    <s v="Anjali"/>
    <n v="25706"/>
    <n v="1"/>
    <n v="7"/>
    <x v="1"/>
    <n v="25706"/>
    <n v="23906.58"/>
  </r>
  <r>
    <s v="ORD1435"/>
    <x v="246"/>
    <x v="0"/>
    <x v="2"/>
    <x v="0"/>
    <s v="Ravi"/>
    <n v="6014"/>
    <n v="6"/>
    <n v="19"/>
    <x v="1"/>
    <n v="36084"/>
    <n v="29228.04"/>
  </r>
  <r>
    <s v="ORD1436"/>
    <x v="159"/>
    <x v="1"/>
    <x v="3"/>
    <x v="1"/>
    <s v="Kiran"/>
    <n v="28305"/>
    <n v="9"/>
    <n v="14"/>
    <x v="0"/>
    <n v="254745"/>
    <n v="219080.7"/>
  </r>
  <r>
    <s v="ORD1438"/>
    <x v="205"/>
    <x v="2"/>
    <x v="2"/>
    <x v="0"/>
    <s v="Anjali"/>
    <n v="32012"/>
    <n v="7"/>
    <n v="22"/>
    <x v="2"/>
    <n v="224084"/>
    <n v="174785.52"/>
  </r>
  <r>
    <s v="ORD1439"/>
    <x v="352"/>
    <x v="3"/>
    <x v="0"/>
    <x v="1"/>
    <s v="Rahul"/>
    <n v="27939"/>
    <n v="4"/>
    <n v="21"/>
    <x v="1"/>
    <n v="111756"/>
    <n v="88287.24"/>
  </r>
  <r>
    <s v="ORD1442"/>
    <x v="22"/>
    <x v="3"/>
    <x v="0"/>
    <x v="1"/>
    <s v="Sneha"/>
    <n v="19009"/>
    <n v="1"/>
    <n v="14"/>
    <x v="2"/>
    <n v="19009"/>
    <n v="16347.74"/>
  </r>
  <r>
    <s v="ORD1443"/>
    <x v="0"/>
    <x v="2"/>
    <x v="0"/>
    <x v="0"/>
    <s v="Priya"/>
    <n v="31472"/>
    <n v="9"/>
    <n v="13"/>
    <x v="1"/>
    <n v="283248"/>
    <n v="246425.76"/>
  </r>
  <r>
    <s v="ORD1444"/>
    <x v="22"/>
    <x v="1"/>
    <x v="1"/>
    <x v="0"/>
    <s v="Anjali"/>
    <n v="47830"/>
    <n v="4"/>
    <n v="20"/>
    <x v="0"/>
    <n v="191320"/>
    <n v="153056"/>
  </r>
  <r>
    <s v="ORD1445"/>
    <x v="158"/>
    <x v="0"/>
    <x v="0"/>
    <x v="1"/>
    <s v="Kiran"/>
    <n v="13671"/>
    <n v="7"/>
    <n v="4"/>
    <x v="2"/>
    <n v="95697"/>
    <n v="91869.119999999995"/>
  </r>
  <r>
    <s v="ORD1446"/>
    <x v="322"/>
    <x v="1"/>
    <x v="4"/>
    <x v="1"/>
    <s v="Amit"/>
    <n v="24455"/>
    <n v="7"/>
    <n v="13"/>
    <x v="2"/>
    <n v="171185"/>
    <n v="148930.95000000001"/>
  </r>
  <r>
    <s v="ORD1447"/>
    <x v="36"/>
    <x v="2"/>
    <x v="3"/>
    <x v="1"/>
    <s v="Priya"/>
    <n v="17589"/>
    <n v="6"/>
    <n v="13"/>
    <x v="1"/>
    <n v="105534"/>
    <n v="91814.58"/>
  </r>
  <r>
    <s v="ORD1448"/>
    <x v="96"/>
    <x v="3"/>
    <x v="1"/>
    <x v="1"/>
    <s v="Sneha"/>
    <n v="42819"/>
    <n v="10"/>
    <n v="24"/>
    <x v="2"/>
    <n v="428190"/>
    <n v="325424.40000000002"/>
  </r>
  <r>
    <s v="ORD1449"/>
    <x v="346"/>
    <x v="2"/>
    <x v="1"/>
    <x v="1"/>
    <s v="Amit"/>
    <n v="21689"/>
    <n v="9"/>
    <n v="18"/>
    <x v="1"/>
    <n v="195201"/>
    <n v="160064.82"/>
  </r>
  <r>
    <s v="ORD1450"/>
    <x v="112"/>
    <x v="0"/>
    <x v="2"/>
    <x v="1"/>
    <s v="Sneha"/>
    <n v="40540"/>
    <n v="4"/>
    <n v="26"/>
    <x v="0"/>
    <n v="162160"/>
    <n v="119998.39999999999"/>
  </r>
  <r>
    <s v="ORD1451"/>
    <x v="243"/>
    <x v="2"/>
    <x v="1"/>
    <x v="1"/>
    <s v="Priya"/>
    <n v="32677"/>
    <n v="2"/>
    <n v="24"/>
    <x v="0"/>
    <n v="65354"/>
    <n v="49669.04"/>
  </r>
  <r>
    <s v="ORD1452"/>
    <x v="1"/>
    <x v="1"/>
    <x v="4"/>
    <x v="1"/>
    <s v="Priya"/>
    <n v="34675"/>
    <n v="9"/>
    <n v="11"/>
    <x v="0"/>
    <n v="312075"/>
    <n v="277746.75"/>
  </r>
  <r>
    <s v="ORD1453"/>
    <x v="305"/>
    <x v="0"/>
    <x v="3"/>
    <x v="0"/>
    <s v="Amit"/>
    <n v="45763"/>
    <n v="3"/>
    <n v="5"/>
    <x v="0"/>
    <n v="137289"/>
    <n v="130424.55"/>
  </r>
  <r>
    <s v="ORD1454"/>
    <x v="35"/>
    <x v="1"/>
    <x v="2"/>
    <x v="1"/>
    <s v="Ravi"/>
    <n v="17765"/>
    <n v="4"/>
    <n v="14"/>
    <x v="1"/>
    <n v="71060"/>
    <n v="61111.6"/>
  </r>
  <r>
    <s v="ORD1456"/>
    <x v="161"/>
    <x v="2"/>
    <x v="3"/>
    <x v="1"/>
    <s v="Anjali"/>
    <n v="43581"/>
    <n v="2"/>
    <n v="25"/>
    <x v="2"/>
    <n v="87162"/>
    <n v="65371.5"/>
  </r>
  <r>
    <s v="ORD1457"/>
    <x v="176"/>
    <x v="1"/>
    <x v="0"/>
    <x v="1"/>
    <s v="Amit"/>
    <n v="45695"/>
    <n v="9"/>
    <n v="7"/>
    <x v="1"/>
    <n v="411255"/>
    <n v="382467.15"/>
  </r>
  <r>
    <s v="ORD1458"/>
    <x v="85"/>
    <x v="3"/>
    <x v="1"/>
    <x v="1"/>
    <s v="Kiran"/>
    <n v="32961"/>
    <n v="6"/>
    <n v="15"/>
    <x v="0"/>
    <n v="197766"/>
    <n v="168101.1"/>
  </r>
  <r>
    <s v="ORD1459"/>
    <x v="269"/>
    <x v="0"/>
    <x v="2"/>
    <x v="0"/>
    <s v="Kiran"/>
    <n v="3642"/>
    <n v="8"/>
    <n v="7"/>
    <x v="2"/>
    <n v="29136"/>
    <n v="27096.48"/>
  </r>
  <r>
    <s v="ORD1460"/>
    <x v="195"/>
    <x v="2"/>
    <x v="0"/>
    <x v="0"/>
    <s v="Anjali"/>
    <n v="27037"/>
    <n v="2"/>
    <n v="9"/>
    <x v="0"/>
    <n v="54074"/>
    <n v="49207.34"/>
  </r>
  <r>
    <s v="ORD1462"/>
    <x v="129"/>
    <x v="1"/>
    <x v="4"/>
    <x v="1"/>
    <s v="Rahul"/>
    <n v="22940"/>
    <n v="10"/>
    <n v="27"/>
    <x v="1"/>
    <n v="229400"/>
    <n v="167462"/>
  </r>
  <r>
    <s v="ORD1463"/>
    <x v="120"/>
    <x v="1"/>
    <x v="3"/>
    <x v="0"/>
    <s v="Anjali"/>
    <n v="747"/>
    <n v="2"/>
    <n v="26"/>
    <x v="0"/>
    <n v="1494"/>
    <n v="1105.56"/>
  </r>
  <r>
    <s v="ORD1464"/>
    <x v="272"/>
    <x v="1"/>
    <x v="1"/>
    <x v="1"/>
    <s v="Priya"/>
    <n v="10238"/>
    <n v="10"/>
    <n v="28"/>
    <x v="0"/>
    <n v="102380"/>
    <n v="73713.600000000006"/>
  </r>
  <r>
    <s v="ORD1466"/>
    <x v="352"/>
    <x v="0"/>
    <x v="2"/>
    <x v="1"/>
    <s v="Amit"/>
    <n v="6805"/>
    <n v="4"/>
    <n v="12"/>
    <x v="0"/>
    <n v="27220"/>
    <n v="23953.599999999999"/>
  </r>
  <r>
    <s v="ORD1468"/>
    <x v="142"/>
    <x v="3"/>
    <x v="2"/>
    <x v="0"/>
    <s v="Anjali"/>
    <n v="31024"/>
    <n v="6"/>
    <n v="20"/>
    <x v="2"/>
    <n v="186144"/>
    <n v="148915.20000000001"/>
  </r>
  <r>
    <s v="ORD1469"/>
    <x v="112"/>
    <x v="2"/>
    <x v="1"/>
    <x v="1"/>
    <s v="Sneha"/>
    <n v="22818"/>
    <n v="9"/>
    <n v="4"/>
    <x v="2"/>
    <n v="205362"/>
    <n v="197147.51999999999"/>
  </r>
  <r>
    <s v="ORD1471"/>
    <x v="205"/>
    <x v="0"/>
    <x v="2"/>
    <x v="0"/>
    <s v="Rahul"/>
    <n v="22937"/>
    <n v="3"/>
    <n v="14"/>
    <x v="0"/>
    <n v="68811"/>
    <n v="59177.46"/>
  </r>
  <r>
    <s v="ORD1472"/>
    <x v="166"/>
    <x v="0"/>
    <x v="0"/>
    <x v="0"/>
    <s v="Ravi"/>
    <n v="5764"/>
    <n v="4"/>
    <n v="22"/>
    <x v="1"/>
    <n v="23056"/>
    <n v="17983.68"/>
  </r>
  <r>
    <s v="ORD1473"/>
    <x v="42"/>
    <x v="2"/>
    <x v="2"/>
    <x v="0"/>
    <s v="Ravi"/>
    <n v="2517"/>
    <n v="10"/>
    <n v="26"/>
    <x v="1"/>
    <n v="25170"/>
    <n v="18625.8"/>
  </r>
  <r>
    <s v="ORD1474"/>
    <x v="59"/>
    <x v="2"/>
    <x v="0"/>
    <x v="1"/>
    <s v="Rahul"/>
    <n v="16620"/>
    <n v="7"/>
    <n v="8"/>
    <x v="1"/>
    <n v="116340"/>
    <n v="107032.8"/>
  </r>
  <r>
    <s v="ORD1475"/>
    <x v="277"/>
    <x v="1"/>
    <x v="3"/>
    <x v="1"/>
    <s v="Kiran"/>
    <n v="14453"/>
    <n v="8"/>
    <n v="1"/>
    <x v="2"/>
    <n v="115624"/>
    <n v="114467.76"/>
  </r>
  <r>
    <s v="ORD1476"/>
    <x v="35"/>
    <x v="0"/>
    <x v="0"/>
    <x v="0"/>
    <s v="Priya"/>
    <n v="38481"/>
    <n v="8"/>
    <n v="7"/>
    <x v="2"/>
    <n v="307848"/>
    <n v="286298.64"/>
  </r>
  <r>
    <s v="ORD1477"/>
    <x v="4"/>
    <x v="0"/>
    <x v="2"/>
    <x v="0"/>
    <s v="Kiran"/>
    <n v="30004"/>
    <n v="2"/>
    <n v="17"/>
    <x v="2"/>
    <n v="60008"/>
    <n v="49806.64"/>
  </r>
  <r>
    <s v="ORD1478"/>
    <x v="181"/>
    <x v="3"/>
    <x v="4"/>
    <x v="0"/>
    <s v="Anjali"/>
    <n v="44196"/>
    <n v="7"/>
    <n v="8"/>
    <x v="1"/>
    <n v="309372"/>
    <n v="284622.24"/>
  </r>
  <r>
    <s v="ORD1479"/>
    <x v="279"/>
    <x v="2"/>
    <x v="0"/>
    <x v="1"/>
    <s v="Anjali"/>
    <n v="10818"/>
    <n v="2"/>
    <n v="12"/>
    <x v="1"/>
    <n v="21636"/>
    <n v="19039.68"/>
  </r>
  <r>
    <s v="ORD1480"/>
    <x v="64"/>
    <x v="2"/>
    <x v="3"/>
    <x v="0"/>
    <s v="Amit"/>
    <n v="22597"/>
    <n v="3"/>
    <n v="25"/>
    <x v="2"/>
    <n v="67791"/>
    <n v="50843.25"/>
  </r>
  <r>
    <s v="ORD1481"/>
    <x v="300"/>
    <x v="1"/>
    <x v="3"/>
    <x v="0"/>
    <s v="Sneha"/>
    <n v="48504"/>
    <n v="10"/>
    <n v="23"/>
    <x v="2"/>
    <n v="485040"/>
    <n v="373480.8"/>
  </r>
  <r>
    <s v="ORD1483"/>
    <x v="353"/>
    <x v="2"/>
    <x v="2"/>
    <x v="0"/>
    <s v="Rahul"/>
    <n v="11595"/>
    <n v="7"/>
    <n v="12"/>
    <x v="1"/>
    <n v="81165"/>
    <n v="71425.2"/>
  </r>
  <r>
    <s v="ORD1484"/>
    <x v="229"/>
    <x v="0"/>
    <x v="2"/>
    <x v="1"/>
    <s v="Rahul"/>
    <n v="47124"/>
    <n v="5"/>
    <n v="23"/>
    <x v="2"/>
    <n v="235620"/>
    <n v="181427.4"/>
  </r>
  <r>
    <s v="ORD1485"/>
    <x v="134"/>
    <x v="2"/>
    <x v="2"/>
    <x v="0"/>
    <s v="Anjali"/>
    <n v="10919"/>
    <n v="2"/>
    <n v="1"/>
    <x v="1"/>
    <n v="21838"/>
    <n v="21619.62"/>
  </r>
  <r>
    <s v="ORD1490"/>
    <x v="271"/>
    <x v="2"/>
    <x v="4"/>
    <x v="1"/>
    <s v="Priya"/>
    <n v="12772"/>
    <n v="5"/>
    <n v="3"/>
    <x v="0"/>
    <n v="63860"/>
    <n v="61944.2"/>
  </r>
  <r>
    <s v="ORD1491"/>
    <x v="18"/>
    <x v="3"/>
    <x v="1"/>
    <x v="1"/>
    <s v="Anjali"/>
    <n v="30573"/>
    <n v="9"/>
    <n v="28"/>
    <x v="1"/>
    <n v="275157"/>
    <n v="198113.03999999998"/>
  </r>
  <r>
    <s v="ORD1492"/>
    <x v="235"/>
    <x v="1"/>
    <x v="1"/>
    <x v="1"/>
    <s v="Rahul"/>
    <n v="35016"/>
    <n v="4"/>
    <n v="8"/>
    <x v="2"/>
    <n v="140064"/>
    <n v="128858.88"/>
  </r>
  <r>
    <s v="ORD1493"/>
    <x v="249"/>
    <x v="1"/>
    <x v="3"/>
    <x v="1"/>
    <s v="Rahul"/>
    <n v="41696"/>
    <n v="5"/>
    <n v="24"/>
    <x v="2"/>
    <n v="208480"/>
    <n v="158444.79999999999"/>
  </r>
  <r>
    <s v="ORD1494"/>
    <x v="261"/>
    <x v="2"/>
    <x v="4"/>
    <x v="0"/>
    <s v="Kiran"/>
    <n v="26212"/>
    <n v="6"/>
    <n v="26"/>
    <x v="1"/>
    <n v="157272"/>
    <n v="116381.28"/>
  </r>
  <r>
    <s v="ORD1495"/>
    <x v="280"/>
    <x v="1"/>
    <x v="1"/>
    <x v="1"/>
    <s v="Ravi"/>
    <n v="37041"/>
    <n v="1"/>
    <n v="22"/>
    <x v="2"/>
    <n v="37041"/>
    <n v="28891.98"/>
  </r>
  <r>
    <s v="ORD1496"/>
    <x v="46"/>
    <x v="2"/>
    <x v="4"/>
    <x v="0"/>
    <s v="Kiran"/>
    <n v="9620"/>
    <n v="9"/>
    <n v="22"/>
    <x v="1"/>
    <n v="86580"/>
    <n v="67532.399999999994"/>
  </r>
  <r>
    <s v="ORD1497"/>
    <x v="77"/>
    <x v="0"/>
    <x v="0"/>
    <x v="0"/>
    <s v="Rahul"/>
    <n v="41128"/>
    <n v="8"/>
    <n v="23"/>
    <x v="1"/>
    <n v="329024"/>
    <n v="253348.47999999998"/>
  </r>
  <r>
    <s v="ORD1498"/>
    <x v="204"/>
    <x v="0"/>
    <x v="4"/>
    <x v="0"/>
    <s v="Priya"/>
    <n v="10489"/>
    <n v="7"/>
    <n v="11"/>
    <x v="1"/>
    <n v="73423"/>
    <n v="65346.47"/>
  </r>
  <r>
    <s v="ORD1499"/>
    <x v="173"/>
    <x v="0"/>
    <x v="3"/>
    <x v="0"/>
    <s v="Ravi"/>
    <n v="20716"/>
    <n v="6"/>
    <n v="25"/>
    <x v="0"/>
    <n v="124296"/>
    <n v="93222"/>
  </r>
  <r>
    <s v="ORD1500"/>
    <x v="259"/>
    <x v="2"/>
    <x v="2"/>
    <x v="1"/>
    <s v="Rahul"/>
    <n v="29371"/>
    <n v="9"/>
    <n v="2"/>
    <x v="1"/>
    <n v="264339"/>
    <n v="259052.22"/>
  </r>
  <r>
    <s v="ORD1501"/>
    <x v="309"/>
    <x v="1"/>
    <x v="2"/>
    <x v="1"/>
    <s v="Sneha"/>
    <n v="21219"/>
    <n v="7"/>
    <n v="16"/>
    <x v="2"/>
    <n v="148533"/>
    <n v="124767.72"/>
  </r>
  <r>
    <s v="ORD1502"/>
    <x v="19"/>
    <x v="0"/>
    <x v="1"/>
    <x v="1"/>
    <s v="Ravi"/>
    <n v="9642"/>
    <n v="3"/>
    <n v="18"/>
    <x v="2"/>
    <n v="28926"/>
    <n v="23719.32"/>
  </r>
  <r>
    <s v="ORD1504"/>
    <x v="245"/>
    <x v="3"/>
    <x v="2"/>
    <x v="0"/>
    <s v="Sneha"/>
    <n v="47275"/>
    <n v="5"/>
    <n v="26"/>
    <x v="2"/>
    <n v="236375"/>
    <n v="174917.5"/>
  </r>
  <r>
    <s v="ORD1505"/>
    <x v="139"/>
    <x v="0"/>
    <x v="1"/>
    <x v="0"/>
    <s v="Ravi"/>
    <n v="227"/>
    <n v="7"/>
    <n v="29"/>
    <x v="2"/>
    <n v="1589"/>
    <n v="1128.19"/>
  </r>
  <r>
    <s v="ORD1506"/>
    <x v="58"/>
    <x v="1"/>
    <x v="3"/>
    <x v="0"/>
    <s v="Amit"/>
    <n v="27593"/>
    <n v="9"/>
    <n v="18"/>
    <x v="1"/>
    <n v="248337"/>
    <n v="203636.34"/>
  </r>
  <r>
    <s v="ORD1507"/>
    <x v="295"/>
    <x v="1"/>
    <x v="3"/>
    <x v="1"/>
    <s v="Amit"/>
    <n v="31564"/>
    <n v="2"/>
    <n v="1"/>
    <x v="1"/>
    <n v="63128"/>
    <n v="62496.72"/>
  </r>
  <r>
    <s v="ORD1508"/>
    <x v="73"/>
    <x v="3"/>
    <x v="0"/>
    <x v="0"/>
    <s v="Kiran"/>
    <n v="27261"/>
    <n v="8"/>
    <n v="7"/>
    <x v="1"/>
    <n v="218088"/>
    <n v="202821.84"/>
  </r>
  <r>
    <s v="ORD1511"/>
    <x v="42"/>
    <x v="0"/>
    <x v="3"/>
    <x v="1"/>
    <s v="Ravi"/>
    <n v="47754"/>
    <n v="7"/>
    <n v="17"/>
    <x v="1"/>
    <n v="334278"/>
    <n v="277450.74"/>
  </r>
  <r>
    <s v="ORD1512"/>
    <x v="145"/>
    <x v="0"/>
    <x v="0"/>
    <x v="1"/>
    <s v="Rahul"/>
    <n v="28160"/>
    <n v="7"/>
    <n v="29"/>
    <x v="1"/>
    <n v="197120"/>
    <n v="139955.20000000001"/>
  </r>
  <r>
    <s v="ORD1513"/>
    <x v="196"/>
    <x v="1"/>
    <x v="0"/>
    <x v="0"/>
    <s v="Priya"/>
    <n v="16836"/>
    <n v="3"/>
    <n v="7"/>
    <x v="0"/>
    <n v="50508"/>
    <n v="46972.44"/>
  </r>
  <r>
    <s v="ORD1515"/>
    <x v="157"/>
    <x v="1"/>
    <x v="0"/>
    <x v="1"/>
    <s v="Priya"/>
    <n v="20656"/>
    <n v="1"/>
    <n v="20"/>
    <x v="1"/>
    <n v="20656"/>
    <n v="16524.8"/>
  </r>
  <r>
    <s v="ORD1517"/>
    <x v="165"/>
    <x v="3"/>
    <x v="0"/>
    <x v="0"/>
    <s v="Kiran"/>
    <n v="6974"/>
    <n v="1"/>
    <n v="28"/>
    <x v="1"/>
    <n v="6974"/>
    <n v="5021.28"/>
  </r>
  <r>
    <s v="ORD1518"/>
    <x v="326"/>
    <x v="2"/>
    <x v="3"/>
    <x v="0"/>
    <s v="Rahul"/>
    <n v="24851"/>
    <n v="7"/>
    <n v="5"/>
    <x v="1"/>
    <n v="173957"/>
    <n v="165259.15"/>
  </r>
  <r>
    <s v="ORD1519"/>
    <x v="327"/>
    <x v="1"/>
    <x v="2"/>
    <x v="0"/>
    <s v="Anjali"/>
    <n v="1194"/>
    <n v="9"/>
    <n v="24"/>
    <x v="1"/>
    <n v="10746"/>
    <n v="8166.96"/>
  </r>
  <r>
    <s v="ORD1520"/>
    <x v="354"/>
    <x v="2"/>
    <x v="4"/>
    <x v="1"/>
    <s v="Rahul"/>
    <n v="31105"/>
    <n v="10"/>
    <n v="19"/>
    <x v="0"/>
    <n v="311050"/>
    <n v="251950.5"/>
  </r>
  <r>
    <s v="ORD1521"/>
    <x v="354"/>
    <x v="0"/>
    <x v="0"/>
    <x v="0"/>
    <s v="Sneha"/>
    <n v="22116"/>
    <n v="3"/>
    <n v="11"/>
    <x v="1"/>
    <n v="66348"/>
    <n v="59049.72"/>
  </r>
  <r>
    <s v="ORD1522"/>
    <x v="239"/>
    <x v="3"/>
    <x v="2"/>
    <x v="1"/>
    <s v="Rahul"/>
    <n v="22598"/>
    <n v="2"/>
    <n v="25"/>
    <x v="1"/>
    <n v="45196"/>
    <n v="33897"/>
  </r>
  <r>
    <s v="ORD1523"/>
    <x v="211"/>
    <x v="3"/>
    <x v="3"/>
    <x v="0"/>
    <s v="Amit"/>
    <n v="28546"/>
    <n v="7"/>
    <n v="11"/>
    <x v="2"/>
    <n v="199822"/>
    <n v="177841.58000000002"/>
  </r>
  <r>
    <s v="ORD1524"/>
    <x v="2"/>
    <x v="0"/>
    <x v="4"/>
    <x v="1"/>
    <s v="Amit"/>
    <n v="8814"/>
    <n v="3"/>
    <n v="20"/>
    <x v="0"/>
    <n v="26442"/>
    <n v="21153.599999999999"/>
  </r>
  <r>
    <s v="ORD1525"/>
    <x v="248"/>
    <x v="0"/>
    <x v="0"/>
    <x v="0"/>
    <s v="Kiran"/>
    <n v="1949"/>
    <n v="6"/>
    <n v="24"/>
    <x v="2"/>
    <n v="11694"/>
    <n v="8887.44"/>
  </r>
  <r>
    <s v="ORD1526"/>
    <x v="235"/>
    <x v="1"/>
    <x v="0"/>
    <x v="1"/>
    <s v="Priya"/>
    <n v="32464"/>
    <n v="3"/>
    <n v="15"/>
    <x v="0"/>
    <n v="97392"/>
    <n v="82783.199999999997"/>
  </r>
  <r>
    <s v="ORD1527"/>
    <x v="91"/>
    <x v="0"/>
    <x v="4"/>
    <x v="1"/>
    <s v="Ravi"/>
    <n v="48232"/>
    <n v="10"/>
    <n v="29"/>
    <x v="1"/>
    <n v="482320"/>
    <n v="342447.2"/>
  </r>
  <r>
    <s v="ORD1528"/>
    <x v="62"/>
    <x v="3"/>
    <x v="1"/>
    <x v="1"/>
    <s v="Priya"/>
    <n v="6224"/>
    <n v="4"/>
    <n v="24"/>
    <x v="1"/>
    <n v="24896"/>
    <n v="18920.96"/>
  </r>
  <r>
    <s v="ORD1529"/>
    <x v="333"/>
    <x v="3"/>
    <x v="0"/>
    <x v="0"/>
    <s v="Kiran"/>
    <n v="7597"/>
    <n v="4"/>
    <n v="15"/>
    <x v="0"/>
    <n v="30388"/>
    <n v="25829.8"/>
  </r>
  <r>
    <s v="ORD1530"/>
    <x v="143"/>
    <x v="2"/>
    <x v="2"/>
    <x v="1"/>
    <s v="Anjali"/>
    <n v="10818"/>
    <n v="9"/>
    <n v="21"/>
    <x v="2"/>
    <n v="97362"/>
    <n v="76915.98"/>
  </r>
  <r>
    <s v="ORD1532"/>
    <x v="250"/>
    <x v="1"/>
    <x v="3"/>
    <x v="0"/>
    <s v="Priya"/>
    <n v="3446"/>
    <n v="3"/>
    <n v="20"/>
    <x v="1"/>
    <n v="10338"/>
    <n v="8270.4"/>
  </r>
  <r>
    <s v="ORD1533"/>
    <x v="98"/>
    <x v="0"/>
    <x v="2"/>
    <x v="0"/>
    <s v="Anjali"/>
    <n v="23455"/>
    <n v="4"/>
    <n v="30"/>
    <x v="1"/>
    <n v="93820"/>
    <n v="65674"/>
  </r>
  <r>
    <s v="ORD1537"/>
    <x v="184"/>
    <x v="3"/>
    <x v="1"/>
    <x v="1"/>
    <s v="Anjali"/>
    <n v="48108"/>
    <n v="1"/>
    <n v="14"/>
    <x v="1"/>
    <n v="48108"/>
    <n v="41372.879999999997"/>
  </r>
  <r>
    <s v="ORD1540"/>
    <x v="329"/>
    <x v="3"/>
    <x v="1"/>
    <x v="0"/>
    <s v="Kiran"/>
    <n v="22366"/>
    <n v="10"/>
    <n v="25"/>
    <x v="1"/>
    <n v="223660"/>
    <n v="167745"/>
  </r>
  <r>
    <s v="ORD1541"/>
    <x v="210"/>
    <x v="1"/>
    <x v="3"/>
    <x v="0"/>
    <s v="Sneha"/>
    <n v="46242"/>
    <n v="1"/>
    <n v="11"/>
    <x v="1"/>
    <n v="46242"/>
    <n v="41155.379999999997"/>
  </r>
  <r>
    <s v="ORD1542"/>
    <x v="291"/>
    <x v="0"/>
    <x v="0"/>
    <x v="1"/>
    <s v="Ravi"/>
    <n v="43473"/>
    <n v="3"/>
    <n v="2"/>
    <x v="2"/>
    <n v="130419"/>
    <n v="127810.62"/>
  </r>
  <r>
    <s v="ORD1543"/>
    <x v="155"/>
    <x v="1"/>
    <x v="2"/>
    <x v="1"/>
    <s v="Sneha"/>
    <n v="36206"/>
    <n v="1"/>
    <n v="26"/>
    <x v="1"/>
    <n v="36206"/>
    <n v="26792.440000000002"/>
  </r>
  <r>
    <s v="ORD1544"/>
    <x v="213"/>
    <x v="1"/>
    <x v="4"/>
    <x v="1"/>
    <s v="Rahul"/>
    <n v="22546"/>
    <n v="2"/>
    <n v="24"/>
    <x v="0"/>
    <n v="45092"/>
    <n v="34269.919999999998"/>
  </r>
  <r>
    <s v="ORD1545"/>
    <x v="352"/>
    <x v="1"/>
    <x v="4"/>
    <x v="0"/>
    <s v="Priya"/>
    <n v="4389"/>
    <n v="10"/>
    <n v="2"/>
    <x v="0"/>
    <n v="43890"/>
    <n v="43012.2"/>
  </r>
  <r>
    <s v="ORD1546"/>
    <x v="125"/>
    <x v="2"/>
    <x v="1"/>
    <x v="0"/>
    <s v="Amit"/>
    <n v="48320"/>
    <n v="8"/>
    <n v="26"/>
    <x v="0"/>
    <n v="386560"/>
    <n v="286054.40000000002"/>
  </r>
  <r>
    <s v="ORD1547"/>
    <x v="170"/>
    <x v="3"/>
    <x v="2"/>
    <x v="0"/>
    <s v="Ravi"/>
    <n v="49762"/>
    <n v="10"/>
    <n v="2"/>
    <x v="2"/>
    <n v="497620"/>
    <n v="487667.6"/>
  </r>
  <r>
    <s v="ORD1548"/>
    <x v="101"/>
    <x v="1"/>
    <x v="2"/>
    <x v="1"/>
    <s v="Anjali"/>
    <n v="19531"/>
    <n v="2"/>
    <n v="5"/>
    <x v="1"/>
    <n v="39062"/>
    <n v="37108.9"/>
  </r>
  <r>
    <s v="ORD1549"/>
    <x v="248"/>
    <x v="3"/>
    <x v="3"/>
    <x v="0"/>
    <s v="Priya"/>
    <n v="895"/>
    <n v="9"/>
    <n v="12"/>
    <x v="0"/>
    <n v="8055"/>
    <n v="7088.4"/>
  </r>
  <r>
    <s v="ORD1550"/>
    <x v="124"/>
    <x v="0"/>
    <x v="4"/>
    <x v="0"/>
    <s v="Amit"/>
    <n v="5304"/>
    <n v="9"/>
    <n v="0"/>
    <x v="0"/>
    <n v="47736"/>
    <n v="47736"/>
  </r>
  <r>
    <s v="ORD1551"/>
    <x v="125"/>
    <x v="0"/>
    <x v="0"/>
    <x v="0"/>
    <s v="Sneha"/>
    <n v="49875"/>
    <n v="7"/>
    <n v="11"/>
    <x v="0"/>
    <n v="349125"/>
    <n v="310721.25"/>
  </r>
  <r>
    <s v="ORD1553"/>
    <x v="336"/>
    <x v="2"/>
    <x v="1"/>
    <x v="1"/>
    <s v="Sneha"/>
    <n v="29797"/>
    <n v="9"/>
    <n v="13"/>
    <x v="0"/>
    <n v="268173"/>
    <n v="233310.51"/>
  </r>
  <r>
    <s v="ORD1555"/>
    <x v="209"/>
    <x v="2"/>
    <x v="1"/>
    <x v="1"/>
    <s v="Kiran"/>
    <n v="24000"/>
    <n v="8"/>
    <n v="13"/>
    <x v="1"/>
    <n v="192000"/>
    <n v="167040"/>
  </r>
  <r>
    <s v="ORD1556"/>
    <x v="283"/>
    <x v="1"/>
    <x v="2"/>
    <x v="0"/>
    <s v="Sneha"/>
    <n v="42922"/>
    <n v="2"/>
    <n v="19"/>
    <x v="1"/>
    <n v="85844"/>
    <n v="69533.64"/>
  </r>
  <r>
    <s v="ORD1557"/>
    <x v="355"/>
    <x v="0"/>
    <x v="4"/>
    <x v="0"/>
    <s v="Anjali"/>
    <n v="2457"/>
    <n v="3"/>
    <n v="24"/>
    <x v="1"/>
    <n v="7371"/>
    <n v="5601.96"/>
  </r>
  <r>
    <s v="ORD1558"/>
    <x v="356"/>
    <x v="2"/>
    <x v="4"/>
    <x v="0"/>
    <s v="Ravi"/>
    <n v="5586"/>
    <n v="9"/>
    <n v="8"/>
    <x v="0"/>
    <n v="50274"/>
    <n v="46252.08"/>
  </r>
  <r>
    <s v="ORD1559"/>
    <x v="157"/>
    <x v="1"/>
    <x v="4"/>
    <x v="0"/>
    <s v="Amit"/>
    <n v="18852"/>
    <n v="5"/>
    <n v="14"/>
    <x v="2"/>
    <n v="94260"/>
    <n v="81063.600000000006"/>
  </r>
  <r>
    <s v="ORD1560"/>
    <x v="33"/>
    <x v="0"/>
    <x v="3"/>
    <x v="1"/>
    <s v="Kiran"/>
    <n v="2432"/>
    <n v="10"/>
    <n v="26"/>
    <x v="1"/>
    <n v="24320"/>
    <n v="17996.8"/>
  </r>
  <r>
    <s v="ORD1561"/>
    <x v="101"/>
    <x v="2"/>
    <x v="1"/>
    <x v="1"/>
    <s v="Rahul"/>
    <n v="30520"/>
    <n v="1"/>
    <n v="24"/>
    <x v="2"/>
    <n v="30520"/>
    <n v="23195.200000000001"/>
  </r>
  <r>
    <s v="ORD1563"/>
    <x v="36"/>
    <x v="0"/>
    <x v="2"/>
    <x v="0"/>
    <s v="Priya"/>
    <n v="21531"/>
    <n v="1"/>
    <n v="1"/>
    <x v="2"/>
    <n v="21531"/>
    <n v="21315.69"/>
  </r>
  <r>
    <s v="ORD1566"/>
    <x v="302"/>
    <x v="0"/>
    <x v="0"/>
    <x v="1"/>
    <s v="Priya"/>
    <n v="27668"/>
    <n v="10"/>
    <n v="14"/>
    <x v="0"/>
    <n v="276680"/>
    <n v="237944.8"/>
  </r>
  <r>
    <s v="ORD1567"/>
    <x v="66"/>
    <x v="1"/>
    <x v="1"/>
    <x v="1"/>
    <s v="Priya"/>
    <n v="1430"/>
    <n v="6"/>
    <n v="6"/>
    <x v="0"/>
    <n v="8580"/>
    <n v="8065.2"/>
  </r>
  <r>
    <s v="ORD1568"/>
    <x v="28"/>
    <x v="1"/>
    <x v="4"/>
    <x v="0"/>
    <s v="Sneha"/>
    <n v="5208"/>
    <n v="3"/>
    <n v="16"/>
    <x v="1"/>
    <n v="15624"/>
    <n v="13124.16"/>
  </r>
  <r>
    <s v="ORD1569"/>
    <x v="35"/>
    <x v="0"/>
    <x v="0"/>
    <x v="1"/>
    <s v="Rahul"/>
    <n v="40475"/>
    <n v="8"/>
    <n v="13"/>
    <x v="1"/>
    <n v="323800"/>
    <n v="281706"/>
  </r>
  <r>
    <s v="ORD1570"/>
    <x v="352"/>
    <x v="0"/>
    <x v="4"/>
    <x v="0"/>
    <s v="Anjali"/>
    <n v="16578"/>
    <n v="4"/>
    <n v="24"/>
    <x v="1"/>
    <n v="66312"/>
    <n v="50397.120000000003"/>
  </r>
  <r>
    <s v="ORD1571"/>
    <x v="103"/>
    <x v="3"/>
    <x v="3"/>
    <x v="0"/>
    <s v="Kiran"/>
    <n v="12745"/>
    <n v="2"/>
    <n v="3"/>
    <x v="2"/>
    <n v="25490"/>
    <n v="24725.3"/>
  </r>
  <r>
    <s v="ORD1574"/>
    <x v="248"/>
    <x v="0"/>
    <x v="1"/>
    <x v="0"/>
    <s v="Kiran"/>
    <n v="22742"/>
    <n v="1"/>
    <n v="16"/>
    <x v="1"/>
    <n v="22742"/>
    <n v="19103.28"/>
  </r>
  <r>
    <s v="ORD1575"/>
    <x v="288"/>
    <x v="0"/>
    <x v="0"/>
    <x v="1"/>
    <s v="Kiran"/>
    <n v="46647"/>
    <n v="5"/>
    <n v="6"/>
    <x v="0"/>
    <n v="233235"/>
    <n v="219240.9"/>
  </r>
  <r>
    <s v="ORD1577"/>
    <x v="268"/>
    <x v="2"/>
    <x v="2"/>
    <x v="1"/>
    <s v="Priya"/>
    <n v="46139"/>
    <n v="9"/>
    <n v="24"/>
    <x v="1"/>
    <n v="415251"/>
    <n v="315590.76"/>
  </r>
  <r>
    <s v="ORD1579"/>
    <x v="246"/>
    <x v="3"/>
    <x v="1"/>
    <x v="0"/>
    <s v="Anjali"/>
    <n v="10272"/>
    <n v="4"/>
    <n v="9"/>
    <x v="0"/>
    <n v="41088"/>
    <n v="37390.080000000002"/>
  </r>
  <r>
    <s v="ORD1580"/>
    <x v="179"/>
    <x v="1"/>
    <x v="3"/>
    <x v="1"/>
    <s v="Anjali"/>
    <n v="43023"/>
    <n v="5"/>
    <n v="23"/>
    <x v="2"/>
    <n v="215115"/>
    <n v="165638.54999999999"/>
  </r>
  <r>
    <s v="ORD1581"/>
    <x v="225"/>
    <x v="0"/>
    <x v="2"/>
    <x v="1"/>
    <s v="Ravi"/>
    <n v="42117"/>
    <n v="2"/>
    <n v="26"/>
    <x v="2"/>
    <n v="84234"/>
    <n v="62333.16"/>
  </r>
  <r>
    <s v="ORD1582"/>
    <x v="104"/>
    <x v="1"/>
    <x v="0"/>
    <x v="1"/>
    <s v="Kiran"/>
    <n v="40579"/>
    <n v="6"/>
    <n v="23"/>
    <x v="0"/>
    <n v="243474"/>
    <n v="187474.98"/>
  </r>
  <r>
    <s v="ORD1583"/>
    <x v="56"/>
    <x v="1"/>
    <x v="1"/>
    <x v="1"/>
    <s v="Anjali"/>
    <n v="48069"/>
    <n v="9"/>
    <n v="28"/>
    <x v="1"/>
    <n v="432621"/>
    <n v="311487.12"/>
  </r>
  <r>
    <s v="ORD1584"/>
    <x v="224"/>
    <x v="2"/>
    <x v="4"/>
    <x v="1"/>
    <s v="Kiran"/>
    <n v="44227"/>
    <n v="2"/>
    <n v="18"/>
    <x v="2"/>
    <n v="88454"/>
    <n v="72532.28"/>
  </r>
  <r>
    <s v="ORD1585"/>
    <x v="233"/>
    <x v="2"/>
    <x v="2"/>
    <x v="0"/>
    <s v="Anjali"/>
    <n v="4850"/>
    <n v="7"/>
    <n v="6"/>
    <x v="2"/>
    <n v="33950"/>
    <n v="31913"/>
  </r>
  <r>
    <s v="ORD1588"/>
    <x v="274"/>
    <x v="3"/>
    <x v="4"/>
    <x v="1"/>
    <s v="Rahul"/>
    <n v="38828"/>
    <n v="1"/>
    <n v="7"/>
    <x v="2"/>
    <n v="38828"/>
    <n v="36110.04"/>
  </r>
  <r>
    <s v="ORD1589"/>
    <x v="147"/>
    <x v="3"/>
    <x v="1"/>
    <x v="1"/>
    <s v="Ravi"/>
    <n v="14633"/>
    <n v="4"/>
    <n v="29"/>
    <x v="1"/>
    <n v="58532"/>
    <n v="41557.72"/>
  </r>
  <r>
    <s v="ORD1590"/>
    <x v="225"/>
    <x v="2"/>
    <x v="2"/>
    <x v="0"/>
    <s v="Anjali"/>
    <n v="23997"/>
    <n v="10"/>
    <n v="20"/>
    <x v="1"/>
    <n v="239970"/>
    <n v="191976"/>
  </r>
  <r>
    <s v="ORD1591"/>
    <x v="20"/>
    <x v="1"/>
    <x v="4"/>
    <x v="0"/>
    <s v="Priya"/>
    <n v="27144"/>
    <n v="1"/>
    <n v="1"/>
    <x v="0"/>
    <n v="27144"/>
    <n v="26872.560000000001"/>
  </r>
  <r>
    <s v="ORD1592"/>
    <x v="172"/>
    <x v="0"/>
    <x v="0"/>
    <x v="0"/>
    <s v="Anjali"/>
    <n v="28236"/>
    <n v="5"/>
    <n v="18"/>
    <x v="0"/>
    <n v="141180"/>
    <n v="115767.6"/>
  </r>
  <r>
    <s v="ORD1593"/>
    <x v="244"/>
    <x v="0"/>
    <x v="1"/>
    <x v="1"/>
    <s v="Rahul"/>
    <n v="24428"/>
    <n v="7"/>
    <n v="23"/>
    <x v="2"/>
    <n v="170996"/>
    <n v="131666.91999999998"/>
  </r>
  <r>
    <s v="ORD1594"/>
    <x v="64"/>
    <x v="1"/>
    <x v="2"/>
    <x v="0"/>
    <s v="Priya"/>
    <n v="28268"/>
    <n v="5"/>
    <n v="8"/>
    <x v="0"/>
    <n v="141340"/>
    <n v="130032.8"/>
  </r>
  <r>
    <s v="ORD1595"/>
    <x v="106"/>
    <x v="3"/>
    <x v="4"/>
    <x v="0"/>
    <s v="Sneha"/>
    <n v="37164"/>
    <n v="5"/>
    <n v="27"/>
    <x v="2"/>
    <n v="185820"/>
    <n v="135648.6"/>
  </r>
  <r>
    <s v="ORD1596"/>
    <x v="84"/>
    <x v="2"/>
    <x v="2"/>
    <x v="1"/>
    <s v="Ravi"/>
    <n v="587"/>
    <n v="1"/>
    <n v="4"/>
    <x v="2"/>
    <n v="587"/>
    <n v="563.52"/>
  </r>
  <r>
    <s v="ORD1597"/>
    <x v="234"/>
    <x v="0"/>
    <x v="3"/>
    <x v="1"/>
    <s v="Anjali"/>
    <n v="19066"/>
    <n v="10"/>
    <n v="19"/>
    <x v="0"/>
    <n v="190660"/>
    <n v="154434.6"/>
  </r>
  <r>
    <s v="ORD1599"/>
    <x v="196"/>
    <x v="0"/>
    <x v="4"/>
    <x v="0"/>
    <s v="Ravi"/>
    <n v="26392"/>
    <n v="10"/>
    <n v="12"/>
    <x v="1"/>
    <n v="263920"/>
    <n v="232249.60000000001"/>
  </r>
  <r>
    <s v="ORD1600"/>
    <x v="8"/>
    <x v="1"/>
    <x v="1"/>
    <x v="0"/>
    <s v="Kiran"/>
    <n v="8579"/>
    <n v="6"/>
    <n v="8"/>
    <x v="1"/>
    <n v="51474"/>
    <n v="47356.08"/>
  </r>
  <r>
    <s v="ORD1601"/>
    <x v="90"/>
    <x v="2"/>
    <x v="2"/>
    <x v="1"/>
    <s v="Amit"/>
    <n v="38062"/>
    <n v="6"/>
    <n v="30"/>
    <x v="1"/>
    <n v="228372"/>
    <n v="159860.4"/>
  </r>
  <r>
    <s v="ORD1602"/>
    <x v="276"/>
    <x v="3"/>
    <x v="2"/>
    <x v="0"/>
    <s v="Priya"/>
    <n v="49141"/>
    <n v="8"/>
    <n v="30"/>
    <x v="1"/>
    <n v="393128"/>
    <n v="275189.59999999998"/>
  </r>
  <r>
    <s v="ORD1604"/>
    <x v="59"/>
    <x v="2"/>
    <x v="0"/>
    <x v="1"/>
    <s v="Priya"/>
    <n v="16550"/>
    <n v="1"/>
    <n v="14"/>
    <x v="1"/>
    <n v="16550"/>
    <n v="14233"/>
  </r>
  <r>
    <s v="ORD1605"/>
    <x v="338"/>
    <x v="3"/>
    <x v="0"/>
    <x v="1"/>
    <s v="Ravi"/>
    <n v="13582"/>
    <n v="1"/>
    <n v="25"/>
    <x v="2"/>
    <n v="13582"/>
    <n v="10186.5"/>
  </r>
  <r>
    <s v="ORD1606"/>
    <x v="214"/>
    <x v="2"/>
    <x v="4"/>
    <x v="1"/>
    <s v="Anjali"/>
    <n v="27900"/>
    <n v="3"/>
    <n v="18"/>
    <x v="2"/>
    <n v="83700"/>
    <n v="68634"/>
  </r>
  <r>
    <s v="ORD1607"/>
    <x v="303"/>
    <x v="1"/>
    <x v="0"/>
    <x v="0"/>
    <s v="Ravi"/>
    <n v="41001"/>
    <n v="9"/>
    <n v="6"/>
    <x v="0"/>
    <n v="369009"/>
    <n v="346868.46"/>
  </r>
  <r>
    <s v="ORD1608"/>
    <x v="245"/>
    <x v="0"/>
    <x v="4"/>
    <x v="1"/>
    <s v="Priya"/>
    <n v="22110"/>
    <n v="3"/>
    <n v="25"/>
    <x v="1"/>
    <n v="66330"/>
    <n v="49747.5"/>
  </r>
  <r>
    <s v="ORD1609"/>
    <x v="161"/>
    <x v="2"/>
    <x v="1"/>
    <x v="1"/>
    <s v="Anjali"/>
    <n v="11100"/>
    <n v="8"/>
    <n v="8"/>
    <x v="2"/>
    <n v="88800"/>
    <n v="81696"/>
  </r>
  <r>
    <s v="ORD1610"/>
    <x v="75"/>
    <x v="2"/>
    <x v="2"/>
    <x v="1"/>
    <s v="Amit"/>
    <n v="35091"/>
    <n v="4"/>
    <n v="22"/>
    <x v="1"/>
    <n v="140364"/>
    <n v="109483.92"/>
  </r>
  <r>
    <s v="ORD1611"/>
    <x v="199"/>
    <x v="3"/>
    <x v="1"/>
    <x v="0"/>
    <s v="Priya"/>
    <n v="10447"/>
    <n v="1"/>
    <n v="11"/>
    <x v="2"/>
    <n v="10447"/>
    <n v="9297.83"/>
  </r>
  <r>
    <s v="ORD1612"/>
    <x v="165"/>
    <x v="1"/>
    <x v="3"/>
    <x v="1"/>
    <s v="Ravi"/>
    <n v="23972"/>
    <n v="5"/>
    <n v="4"/>
    <x v="1"/>
    <n v="119860"/>
    <n v="115065.60000000001"/>
  </r>
  <r>
    <s v="ORD1613"/>
    <x v="208"/>
    <x v="2"/>
    <x v="3"/>
    <x v="0"/>
    <s v="Amit"/>
    <n v="29516"/>
    <n v="9"/>
    <n v="16"/>
    <x v="0"/>
    <n v="265644"/>
    <n v="223140.96"/>
  </r>
  <r>
    <s v="ORD1614"/>
    <x v="267"/>
    <x v="3"/>
    <x v="4"/>
    <x v="1"/>
    <s v="Sneha"/>
    <n v="19749"/>
    <n v="9"/>
    <n v="11"/>
    <x v="1"/>
    <n v="177741"/>
    <n v="158189.49"/>
  </r>
  <r>
    <s v="ORD1615"/>
    <x v="96"/>
    <x v="2"/>
    <x v="1"/>
    <x v="0"/>
    <s v="Amit"/>
    <n v="27891"/>
    <n v="9"/>
    <n v="4"/>
    <x v="2"/>
    <n v="251019"/>
    <n v="240978.24"/>
  </r>
  <r>
    <s v="ORD1616"/>
    <x v="97"/>
    <x v="2"/>
    <x v="2"/>
    <x v="0"/>
    <s v="Anjali"/>
    <n v="6616"/>
    <n v="10"/>
    <n v="21"/>
    <x v="0"/>
    <n v="66160"/>
    <n v="52266.400000000001"/>
  </r>
  <r>
    <s v="ORD1617"/>
    <x v="355"/>
    <x v="1"/>
    <x v="3"/>
    <x v="0"/>
    <s v="Ravi"/>
    <n v="25889"/>
    <n v="2"/>
    <n v="26"/>
    <x v="2"/>
    <n v="51778"/>
    <n v="38315.72"/>
  </r>
  <r>
    <s v="ORD1619"/>
    <x v="334"/>
    <x v="2"/>
    <x v="1"/>
    <x v="0"/>
    <s v="Priya"/>
    <n v="2419"/>
    <n v="10"/>
    <n v="1"/>
    <x v="2"/>
    <n v="24190"/>
    <n v="23948.1"/>
  </r>
  <r>
    <s v="ORD1620"/>
    <x v="172"/>
    <x v="1"/>
    <x v="2"/>
    <x v="0"/>
    <s v="Rahul"/>
    <n v="41416"/>
    <n v="4"/>
    <n v="1"/>
    <x v="1"/>
    <n v="165664"/>
    <n v="164007.35999999999"/>
  </r>
  <r>
    <s v="ORD1621"/>
    <x v="26"/>
    <x v="3"/>
    <x v="2"/>
    <x v="0"/>
    <s v="Priya"/>
    <n v="31672"/>
    <n v="7"/>
    <n v="30"/>
    <x v="0"/>
    <n v="221704"/>
    <n v="155192.79999999999"/>
  </r>
  <r>
    <s v="ORD1622"/>
    <x v="276"/>
    <x v="2"/>
    <x v="1"/>
    <x v="1"/>
    <s v="Anjali"/>
    <n v="28587"/>
    <n v="9"/>
    <n v="19"/>
    <x v="0"/>
    <n v="257283"/>
    <n v="208399.23"/>
  </r>
  <r>
    <s v="ORD1623"/>
    <x v="3"/>
    <x v="1"/>
    <x v="1"/>
    <x v="0"/>
    <s v="Priya"/>
    <n v="25838"/>
    <n v="8"/>
    <n v="26"/>
    <x v="0"/>
    <n v="206704"/>
    <n v="152960.95999999999"/>
  </r>
  <r>
    <s v="ORD1625"/>
    <x v="239"/>
    <x v="1"/>
    <x v="4"/>
    <x v="0"/>
    <s v="Kiran"/>
    <n v="22575"/>
    <n v="5"/>
    <n v="16"/>
    <x v="0"/>
    <n v="112875"/>
    <n v="94815"/>
  </r>
  <r>
    <s v="ORD1626"/>
    <x v="1"/>
    <x v="2"/>
    <x v="3"/>
    <x v="0"/>
    <s v="Amit"/>
    <n v="29616"/>
    <n v="9"/>
    <n v="6"/>
    <x v="1"/>
    <n v="266544"/>
    <n v="250551.36"/>
  </r>
  <r>
    <s v="ORD1628"/>
    <x v="72"/>
    <x v="0"/>
    <x v="3"/>
    <x v="1"/>
    <s v="Rahul"/>
    <n v="41782"/>
    <n v="5"/>
    <n v="3"/>
    <x v="0"/>
    <n v="208910"/>
    <n v="202642.7"/>
  </r>
  <r>
    <s v="ORD1629"/>
    <x v="352"/>
    <x v="3"/>
    <x v="3"/>
    <x v="0"/>
    <s v="Kiran"/>
    <n v="15765"/>
    <n v="8"/>
    <n v="17"/>
    <x v="0"/>
    <n v="126120"/>
    <n v="104679.6"/>
  </r>
  <r>
    <s v="ORD1630"/>
    <x v="346"/>
    <x v="2"/>
    <x v="3"/>
    <x v="0"/>
    <s v="Anjali"/>
    <n v="45413"/>
    <n v="1"/>
    <n v="7"/>
    <x v="0"/>
    <n v="45413"/>
    <n v="42234.09"/>
  </r>
  <r>
    <s v="ORD1631"/>
    <x v="131"/>
    <x v="1"/>
    <x v="0"/>
    <x v="1"/>
    <s v="Anjali"/>
    <n v="26245"/>
    <n v="6"/>
    <n v="14"/>
    <x v="1"/>
    <n v="157470"/>
    <n v="135424.20000000001"/>
  </r>
  <r>
    <s v="ORD1632"/>
    <x v="41"/>
    <x v="2"/>
    <x v="4"/>
    <x v="0"/>
    <s v="Anjali"/>
    <n v="36560"/>
    <n v="7"/>
    <n v="19"/>
    <x v="0"/>
    <n v="255920"/>
    <n v="207295.2"/>
  </r>
  <r>
    <s v="ORD1633"/>
    <x v="270"/>
    <x v="2"/>
    <x v="4"/>
    <x v="0"/>
    <s v="Rahul"/>
    <n v="28515"/>
    <n v="5"/>
    <n v="7"/>
    <x v="1"/>
    <n v="142575"/>
    <n v="132594.75"/>
  </r>
  <r>
    <s v="ORD1634"/>
    <x v="204"/>
    <x v="2"/>
    <x v="0"/>
    <x v="1"/>
    <s v="Sneha"/>
    <n v="18384"/>
    <n v="2"/>
    <n v="14"/>
    <x v="1"/>
    <n v="36768"/>
    <n v="31620.48"/>
  </r>
  <r>
    <s v="ORD1638"/>
    <x v="61"/>
    <x v="2"/>
    <x v="4"/>
    <x v="1"/>
    <s v="Ravi"/>
    <n v="13850"/>
    <n v="10"/>
    <n v="24"/>
    <x v="0"/>
    <n v="138500"/>
    <n v="105260"/>
  </r>
  <r>
    <s v="ORD1639"/>
    <x v="187"/>
    <x v="0"/>
    <x v="2"/>
    <x v="0"/>
    <s v="Kiran"/>
    <n v="34278"/>
    <n v="1"/>
    <n v="24"/>
    <x v="0"/>
    <n v="34278"/>
    <n v="26051.279999999999"/>
  </r>
  <r>
    <s v="ORD1640"/>
    <x v="266"/>
    <x v="0"/>
    <x v="2"/>
    <x v="1"/>
    <s v="Ravi"/>
    <n v="19066"/>
    <n v="9"/>
    <n v="27"/>
    <x v="2"/>
    <n v="171594"/>
    <n v="125263.62"/>
  </r>
  <r>
    <s v="ORD1642"/>
    <x v="169"/>
    <x v="0"/>
    <x v="0"/>
    <x v="0"/>
    <s v="Anjali"/>
    <n v="7652"/>
    <n v="5"/>
    <n v="13"/>
    <x v="0"/>
    <n v="38260"/>
    <n v="33286.199999999997"/>
  </r>
  <r>
    <s v="ORD1643"/>
    <x v="249"/>
    <x v="1"/>
    <x v="2"/>
    <x v="0"/>
    <s v="Sneha"/>
    <n v="45380"/>
    <n v="2"/>
    <n v="2"/>
    <x v="1"/>
    <n v="90760"/>
    <n v="88944.8"/>
  </r>
  <r>
    <s v="ORD1644"/>
    <x v="278"/>
    <x v="2"/>
    <x v="2"/>
    <x v="0"/>
    <s v="Anjali"/>
    <n v="27245"/>
    <n v="8"/>
    <n v="2"/>
    <x v="2"/>
    <n v="217960"/>
    <n v="213600.8"/>
  </r>
  <r>
    <s v="ORD1645"/>
    <x v="58"/>
    <x v="1"/>
    <x v="0"/>
    <x v="1"/>
    <s v="Ravi"/>
    <n v="14612"/>
    <n v="1"/>
    <n v="14"/>
    <x v="0"/>
    <n v="14612"/>
    <n v="12566.32"/>
  </r>
  <r>
    <s v="ORD1647"/>
    <x v="138"/>
    <x v="3"/>
    <x v="0"/>
    <x v="1"/>
    <s v="Anjali"/>
    <n v="44966"/>
    <n v="7"/>
    <n v="4"/>
    <x v="0"/>
    <n v="314762"/>
    <n v="302171.52000000002"/>
  </r>
  <r>
    <s v="ORD1648"/>
    <x v="3"/>
    <x v="3"/>
    <x v="0"/>
    <x v="1"/>
    <s v="Kiran"/>
    <n v="48918"/>
    <n v="9"/>
    <n v="15"/>
    <x v="1"/>
    <n v="440262"/>
    <n v="374222.7"/>
  </r>
  <r>
    <s v="ORD1649"/>
    <x v="212"/>
    <x v="0"/>
    <x v="4"/>
    <x v="1"/>
    <s v="Amit"/>
    <n v="8757"/>
    <n v="2"/>
    <n v="0"/>
    <x v="1"/>
    <n v="17514"/>
    <n v="17514"/>
  </r>
  <r>
    <s v="ORD1650"/>
    <x v="242"/>
    <x v="2"/>
    <x v="4"/>
    <x v="0"/>
    <s v="Kiran"/>
    <n v="21328"/>
    <n v="10"/>
    <n v="5"/>
    <x v="0"/>
    <n v="213280"/>
    <n v="202616"/>
  </r>
  <r>
    <s v="ORD1651"/>
    <x v="340"/>
    <x v="2"/>
    <x v="0"/>
    <x v="0"/>
    <s v="Ravi"/>
    <n v="33765"/>
    <n v="2"/>
    <n v="7"/>
    <x v="0"/>
    <n v="67530"/>
    <n v="62802.9"/>
  </r>
  <r>
    <s v="ORD1652"/>
    <x v="210"/>
    <x v="0"/>
    <x v="2"/>
    <x v="1"/>
    <s v="Rahul"/>
    <n v="29683"/>
    <n v="6"/>
    <n v="28"/>
    <x v="2"/>
    <n v="178098"/>
    <n v="128230.56"/>
  </r>
  <r>
    <s v="ORD1653"/>
    <x v="158"/>
    <x v="3"/>
    <x v="0"/>
    <x v="1"/>
    <s v="Anjali"/>
    <n v="18676"/>
    <n v="10"/>
    <n v="24"/>
    <x v="0"/>
    <n v="186760"/>
    <n v="141937.60000000001"/>
  </r>
  <r>
    <s v="ORD1654"/>
    <x v="99"/>
    <x v="0"/>
    <x v="3"/>
    <x v="0"/>
    <s v="Anjali"/>
    <n v="40317"/>
    <n v="5"/>
    <n v="25"/>
    <x v="0"/>
    <n v="201585"/>
    <n v="151188.75"/>
  </r>
  <r>
    <s v="ORD1656"/>
    <x v="196"/>
    <x v="2"/>
    <x v="0"/>
    <x v="1"/>
    <s v="Ravi"/>
    <n v="46466"/>
    <n v="2"/>
    <n v="26"/>
    <x v="1"/>
    <n v="92932"/>
    <n v="68769.679999999993"/>
  </r>
  <r>
    <s v="ORD1657"/>
    <x v="285"/>
    <x v="1"/>
    <x v="4"/>
    <x v="1"/>
    <s v="Kiran"/>
    <n v="44184"/>
    <n v="9"/>
    <n v="29"/>
    <x v="0"/>
    <n v="397656"/>
    <n v="282335.76"/>
  </r>
  <r>
    <s v="ORD1658"/>
    <x v="167"/>
    <x v="2"/>
    <x v="0"/>
    <x v="0"/>
    <s v="Kiran"/>
    <n v="15728"/>
    <n v="1"/>
    <n v="2"/>
    <x v="1"/>
    <n v="15728"/>
    <n v="15413.44"/>
  </r>
  <r>
    <s v="ORD1659"/>
    <x v="311"/>
    <x v="2"/>
    <x v="1"/>
    <x v="0"/>
    <s v="Anjali"/>
    <n v="27811"/>
    <n v="2"/>
    <n v="9"/>
    <x v="1"/>
    <n v="55622"/>
    <n v="50616.020000000004"/>
  </r>
  <r>
    <s v="ORD1660"/>
    <x v="310"/>
    <x v="1"/>
    <x v="2"/>
    <x v="1"/>
    <s v="Sneha"/>
    <n v="37069"/>
    <n v="2"/>
    <n v="8"/>
    <x v="0"/>
    <n v="74138"/>
    <n v="68206.960000000006"/>
  </r>
  <r>
    <s v="ORD1661"/>
    <x v="152"/>
    <x v="3"/>
    <x v="4"/>
    <x v="1"/>
    <s v="Sneha"/>
    <n v="14968"/>
    <n v="10"/>
    <n v="7"/>
    <x v="2"/>
    <n v="149680"/>
    <n v="139202.4"/>
  </r>
  <r>
    <s v="ORD1662"/>
    <x v="100"/>
    <x v="0"/>
    <x v="3"/>
    <x v="1"/>
    <s v="Ravi"/>
    <n v="47231"/>
    <n v="10"/>
    <n v="6"/>
    <x v="1"/>
    <n v="472310"/>
    <n v="443971.4"/>
  </r>
  <r>
    <s v="ORD1663"/>
    <x v="201"/>
    <x v="3"/>
    <x v="2"/>
    <x v="0"/>
    <s v="Priya"/>
    <n v="29906"/>
    <n v="6"/>
    <n v="25"/>
    <x v="2"/>
    <n v="179436"/>
    <n v="134577"/>
  </r>
  <r>
    <s v="ORD1664"/>
    <x v="72"/>
    <x v="0"/>
    <x v="2"/>
    <x v="1"/>
    <s v="Sneha"/>
    <n v="32057"/>
    <n v="6"/>
    <n v="6"/>
    <x v="2"/>
    <n v="192342"/>
    <n v="180801.48"/>
  </r>
  <r>
    <s v="ORD1666"/>
    <x v="145"/>
    <x v="2"/>
    <x v="3"/>
    <x v="0"/>
    <s v="Anjali"/>
    <n v="12645"/>
    <n v="8"/>
    <n v="15"/>
    <x v="0"/>
    <n v="101160"/>
    <n v="85986"/>
  </r>
  <r>
    <s v="ORD1667"/>
    <x v="357"/>
    <x v="3"/>
    <x v="0"/>
    <x v="0"/>
    <s v="Priya"/>
    <n v="47271"/>
    <n v="5"/>
    <n v="26"/>
    <x v="0"/>
    <n v="236355"/>
    <n v="174902.7"/>
  </r>
  <r>
    <s v="ORD1668"/>
    <x v="327"/>
    <x v="3"/>
    <x v="1"/>
    <x v="0"/>
    <s v="Kiran"/>
    <n v="18266"/>
    <n v="7"/>
    <n v="8"/>
    <x v="0"/>
    <n v="127862"/>
    <n v="117633.04000000001"/>
  </r>
  <r>
    <s v="ORD1669"/>
    <x v="76"/>
    <x v="3"/>
    <x v="0"/>
    <x v="1"/>
    <s v="Anjali"/>
    <n v="36364"/>
    <n v="6"/>
    <n v="9"/>
    <x v="2"/>
    <n v="218184"/>
    <n v="198547.44"/>
  </r>
  <r>
    <s v="ORD1670"/>
    <x v="202"/>
    <x v="3"/>
    <x v="4"/>
    <x v="1"/>
    <s v="Sneha"/>
    <n v="44703"/>
    <n v="4"/>
    <n v="19"/>
    <x v="0"/>
    <n v="178812"/>
    <n v="144837.72"/>
  </r>
  <r>
    <s v="ORD1671"/>
    <x v="290"/>
    <x v="3"/>
    <x v="4"/>
    <x v="0"/>
    <s v="Anjali"/>
    <n v="49956"/>
    <n v="3"/>
    <n v="16"/>
    <x v="1"/>
    <n v="149868"/>
    <n v="125889.12"/>
  </r>
  <r>
    <s v="ORD1672"/>
    <x v="291"/>
    <x v="2"/>
    <x v="4"/>
    <x v="0"/>
    <s v="Kiran"/>
    <n v="35626"/>
    <n v="5"/>
    <n v="20"/>
    <x v="1"/>
    <n v="178130"/>
    <n v="142504"/>
  </r>
  <r>
    <s v="ORD1673"/>
    <x v="283"/>
    <x v="0"/>
    <x v="1"/>
    <x v="0"/>
    <s v="Rahul"/>
    <n v="8865"/>
    <n v="3"/>
    <n v="30"/>
    <x v="1"/>
    <n v="26595"/>
    <n v="18616.5"/>
  </r>
  <r>
    <s v="ORD1674"/>
    <x v="326"/>
    <x v="3"/>
    <x v="1"/>
    <x v="0"/>
    <s v="Amit"/>
    <n v="36159"/>
    <n v="5"/>
    <n v="2"/>
    <x v="1"/>
    <n v="180795"/>
    <n v="177179.1"/>
  </r>
  <r>
    <s v="ORD1675"/>
    <x v="308"/>
    <x v="3"/>
    <x v="3"/>
    <x v="0"/>
    <s v="Ravi"/>
    <n v="19761"/>
    <n v="8"/>
    <n v="11"/>
    <x v="2"/>
    <n v="158088"/>
    <n v="140698.32"/>
  </r>
  <r>
    <s v="ORD1676"/>
    <x v="334"/>
    <x v="1"/>
    <x v="0"/>
    <x v="1"/>
    <s v="Anjali"/>
    <n v="46062"/>
    <n v="6"/>
    <n v="27"/>
    <x v="0"/>
    <n v="276372"/>
    <n v="201751.56"/>
  </r>
  <r>
    <s v="ORD1678"/>
    <x v="279"/>
    <x v="2"/>
    <x v="4"/>
    <x v="0"/>
    <s v="Sneha"/>
    <n v="17546"/>
    <n v="1"/>
    <n v="6"/>
    <x v="0"/>
    <n v="17546"/>
    <n v="16493.240000000002"/>
  </r>
  <r>
    <s v="ORD1679"/>
    <x v="342"/>
    <x v="1"/>
    <x v="1"/>
    <x v="0"/>
    <s v="Kiran"/>
    <n v="832"/>
    <n v="7"/>
    <n v="2"/>
    <x v="1"/>
    <n v="5824"/>
    <n v="5707.52"/>
  </r>
  <r>
    <s v="ORD1680"/>
    <x v="122"/>
    <x v="2"/>
    <x v="1"/>
    <x v="0"/>
    <s v="Priya"/>
    <n v="2136"/>
    <n v="8"/>
    <n v="4"/>
    <x v="2"/>
    <n v="17088"/>
    <n v="16404.48"/>
  </r>
  <r>
    <s v="ORD1685"/>
    <x v="355"/>
    <x v="2"/>
    <x v="3"/>
    <x v="0"/>
    <s v="Anjali"/>
    <n v="48184"/>
    <n v="10"/>
    <n v="10"/>
    <x v="1"/>
    <n v="481840"/>
    <n v="433656"/>
  </r>
  <r>
    <s v="ORD1686"/>
    <x v="349"/>
    <x v="2"/>
    <x v="1"/>
    <x v="1"/>
    <s v="Ravi"/>
    <n v="32791"/>
    <n v="2"/>
    <n v="7"/>
    <x v="0"/>
    <n v="65582"/>
    <n v="60991.26"/>
  </r>
  <r>
    <s v="ORD1687"/>
    <x v="114"/>
    <x v="2"/>
    <x v="3"/>
    <x v="0"/>
    <s v="Ravi"/>
    <n v="44701"/>
    <n v="6"/>
    <n v="13"/>
    <x v="0"/>
    <n v="268206"/>
    <n v="233339.22"/>
  </r>
  <r>
    <s v="ORD1690"/>
    <x v="108"/>
    <x v="0"/>
    <x v="1"/>
    <x v="1"/>
    <s v="Priya"/>
    <n v="8130"/>
    <n v="10"/>
    <n v="7"/>
    <x v="2"/>
    <n v="81300"/>
    <n v="75609"/>
  </r>
  <r>
    <s v="ORD1692"/>
    <x v="242"/>
    <x v="3"/>
    <x v="2"/>
    <x v="1"/>
    <s v="Amit"/>
    <n v="33278"/>
    <n v="5"/>
    <n v="28"/>
    <x v="0"/>
    <n v="166390"/>
    <n v="119800.8"/>
  </r>
  <r>
    <s v="ORD1693"/>
    <x v="106"/>
    <x v="1"/>
    <x v="2"/>
    <x v="1"/>
    <s v="Sneha"/>
    <n v="27681"/>
    <n v="7"/>
    <n v="28"/>
    <x v="1"/>
    <n v="193767"/>
    <n v="139512.24"/>
  </r>
  <r>
    <s v="ORD1694"/>
    <x v="301"/>
    <x v="2"/>
    <x v="1"/>
    <x v="1"/>
    <s v="Priya"/>
    <n v="3332"/>
    <n v="5"/>
    <n v="10"/>
    <x v="2"/>
    <n v="16660"/>
    <n v="14994"/>
  </r>
  <r>
    <s v="ORD1696"/>
    <x v="144"/>
    <x v="1"/>
    <x v="4"/>
    <x v="1"/>
    <s v="Rahul"/>
    <n v="30568"/>
    <n v="10"/>
    <n v="4"/>
    <x v="1"/>
    <n v="305680"/>
    <n v="293452.79999999999"/>
  </r>
  <r>
    <s v="ORD1697"/>
    <x v="357"/>
    <x v="3"/>
    <x v="1"/>
    <x v="0"/>
    <s v="Ravi"/>
    <n v="3474"/>
    <n v="9"/>
    <n v="29"/>
    <x v="0"/>
    <n v="31266"/>
    <n v="22198.86"/>
  </r>
  <r>
    <s v="ORD1699"/>
    <x v="43"/>
    <x v="0"/>
    <x v="0"/>
    <x v="0"/>
    <s v="Amit"/>
    <n v="12879"/>
    <n v="4"/>
    <n v="28"/>
    <x v="2"/>
    <n v="51516"/>
    <n v="37091.520000000004"/>
  </r>
  <r>
    <s v="ORD1700"/>
    <x v="152"/>
    <x v="0"/>
    <x v="1"/>
    <x v="0"/>
    <s v="Ravi"/>
    <n v="36795"/>
    <n v="4"/>
    <n v="22"/>
    <x v="2"/>
    <n v="147180"/>
    <n v="114800.4"/>
  </r>
  <r>
    <s v="ORD1702"/>
    <x v="81"/>
    <x v="1"/>
    <x v="3"/>
    <x v="1"/>
    <s v="Ravi"/>
    <n v="17017"/>
    <n v="9"/>
    <n v="28"/>
    <x v="0"/>
    <n v="153153"/>
    <n v="110270.16"/>
  </r>
  <r>
    <s v="ORD1703"/>
    <x v="336"/>
    <x v="3"/>
    <x v="3"/>
    <x v="0"/>
    <s v="Anjali"/>
    <n v="6543"/>
    <n v="2"/>
    <n v="20"/>
    <x v="2"/>
    <n v="13086"/>
    <n v="10468.799999999999"/>
  </r>
  <r>
    <s v="ORD1704"/>
    <x v="148"/>
    <x v="0"/>
    <x v="4"/>
    <x v="1"/>
    <s v="Amit"/>
    <n v="2164"/>
    <n v="1"/>
    <n v="8"/>
    <x v="0"/>
    <n v="2164"/>
    <n v="1990.88"/>
  </r>
  <r>
    <s v="ORD1705"/>
    <x v="297"/>
    <x v="3"/>
    <x v="0"/>
    <x v="1"/>
    <s v="Anjali"/>
    <n v="18331"/>
    <n v="7"/>
    <n v="8"/>
    <x v="1"/>
    <n v="128317"/>
    <n v="118051.64"/>
  </r>
  <r>
    <s v="ORD1706"/>
    <x v="132"/>
    <x v="1"/>
    <x v="3"/>
    <x v="1"/>
    <s v="Anjali"/>
    <n v="11065"/>
    <n v="7"/>
    <n v="19"/>
    <x v="1"/>
    <n v="77455"/>
    <n v="62738.55"/>
  </r>
  <r>
    <s v="ORD1707"/>
    <x v="335"/>
    <x v="0"/>
    <x v="4"/>
    <x v="1"/>
    <s v="Kiran"/>
    <n v="2108"/>
    <n v="4"/>
    <n v="29"/>
    <x v="0"/>
    <n v="8432"/>
    <n v="5986.7199999999993"/>
  </r>
  <r>
    <s v="ORD1708"/>
    <x v="81"/>
    <x v="3"/>
    <x v="1"/>
    <x v="1"/>
    <s v="Ravi"/>
    <n v="19017"/>
    <n v="5"/>
    <n v="4"/>
    <x v="0"/>
    <n v="95085"/>
    <n v="91281.600000000006"/>
  </r>
  <r>
    <s v="ORD1709"/>
    <x v="105"/>
    <x v="1"/>
    <x v="1"/>
    <x v="0"/>
    <s v="Priya"/>
    <n v="9062"/>
    <n v="8"/>
    <n v="16"/>
    <x v="2"/>
    <n v="72496"/>
    <n v="60896.639999999999"/>
  </r>
  <r>
    <s v="ORD1710"/>
    <x v="96"/>
    <x v="1"/>
    <x v="4"/>
    <x v="0"/>
    <s v="Ravi"/>
    <n v="45588"/>
    <n v="3"/>
    <n v="30"/>
    <x v="2"/>
    <n v="136764"/>
    <n v="95734.8"/>
  </r>
  <r>
    <s v="ORD1711"/>
    <x v="256"/>
    <x v="1"/>
    <x v="0"/>
    <x v="0"/>
    <s v="Sneha"/>
    <n v="9616"/>
    <n v="7"/>
    <n v="16"/>
    <x v="0"/>
    <n v="67312"/>
    <n v="56542.080000000002"/>
  </r>
  <r>
    <s v="ORD1712"/>
    <x v="267"/>
    <x v="3"/>
    <x v="0"/>
    <x v="1"/>
    <s v="Amit"/>
    <n v="2007"/>
    <n v="2"/>
    <n v="17"/>
    <x v="2"/>
    <n v="4014"/>
    <n v="3331.62"/>
  </r>
  <r>
    <s v="ORD1713"/>
    <x v="189"/>
    <x v="0"/>
    <x v="3"/>
    <x v="0"/>
    <s v="Sneha"/>
    <n v="24511"/>
    <n v="4"/>
    <n v="23"/>
    <x v="2"/>
    <n v="98044"/>
    <n v="75493.88"/>
  </r>
  <r>
    <s v="ORD1716"/>
    <x v="81"/>
    <x v="3"/>
    <x v="1"/>
    <x v="0"/>
    <s v="Rahul"/>
    <n v="47465"/>
    <n v="9"/>
    <n v="1"/>
    <x v="0"/>
    <n v="427185"/>
    <n v="422913.15"/>
  </r>
  <r>
    <s v="ORD1717"/>
    <x v="265"/>
    <x v="1"/>
    <x v="3"/>
    <x v="1"/>
    <s v="Rahul"/>
    <n v="45184"/>
    <n v="10"/>
    <n v="24"/>
    <x v="2"/>
    <n v="451840"/>
    <n v="343398.40000000002"/>
  </r>
  <r>
    <s v="ORD1718"/>
    <x v="315"/>
    <x v="1"/>
    <x v="3"/>
    <x v="0"/>
    <s v="Anjali"/>
    <n v="42202"/>
    <n v="4"/>
    <n v="3"/>
    <x v="1"/>
    <n v="168808"/>
    <n v="163743.76"/>
  </r>
  <r>
    <s v="ORD1719"/>
    <x v="19"/>
    <x v="0"/>
    <x v="4"/>
    <x v="1"/>
    <s v="Kiran"/>
    <n v="28113"/>
    <n v="9"/>
    <n v="16"/>
    <x v="0"/>
    <n v="253017"/>
    <n v="212534.28"/>
  </r>
  <r>
    <s v="ORD1720"/>
    <x v="313"/>
    <x v="1"/>
    <x v="4"/>
    <x v="1"/>
    <s v="Anjali"/>
    <n v="49282"/>
    <n v="1"/>
    <n v="0"/>
    <x v="2"/>
    <n v="49282"/>
    <n v="49282"/>
  </r>
  <r>
    <s v="ORD1721"/>
    <x v="200"/>
    <x v="3"/>
    <x v="2"/>
    <x v="1"/>
    <s v="Anjali"/>
    <n v="13124"/>
    <n v="3"/>
    <n v="14"/>
    <x v="2"/>
    <n v="39372"/>
    <n v="33859.919999999998"/>
  </r>
  <r>
    <s v="ORD1724"/>
    <x v="252"/>
    <x v="1"/>
    <x v="3"/>
    <x v="1"/>
    <s v="Ravi"/>
    <n v="36623"/>
    <n v="3"/>
    <n v="27"/>
    <x v="2"/>
    <n v="109869"/>
    <n v="80204.37"/>
  </r>
  <r>
    <s v="ORD1725"/>
    <x v="288"/>
    <x v="1"/>
    <x v="2"/>
    <x v="0"/>
    <s v="Rahul"/>
    <n v="13193"/>
    <n v="1"/>
    <n v="25"/>
    <x v="0"/>
    <n v="13193"/>
    <n v="9894.75"/>
  </r>
  <r>
    <s v="ORD1726"/>
    <x v="192"/>
    <x v="1"/>
    <x v="2"/>
    <x v="0"/>
    <s v="Rahul"/>
    <n v="33064"/>
    <n v="9"/>
    <n v="1"/>
    <x v="1"/>
    <n v="297576"/>
    <n v="294600.24"/>
  </r>
  <r>
    <s v="ORD1727"/>
    <x v="73"/>
    <x v="1"/>
    <x v="4"/>
    <x v="0"/>
    <s v="Rahul"/>
    <n v="20345"/>
    <n v="6"/>
    <n v="0"/>
    <x v="0"/>
    <n v="122070"/>
    <n v="122070"/>
  </r>
  <r>
    <s v="ORD1728"/>
    <x v="203"/>
    <x v="0"/>
    <x v="3"/>
    <x v="1"/>
    <s v="Priya"/>
    <n v="37705"/>
    <n v="7"/>
    <n v="11"/>
    <x v="1"/>
    <n v="263935"/>
    <n v="234902.15"/>
  </r>
  <r>
    <s v="ORD1729"/>
    <x v="38"/>
    <x v="0"/>
    <x v="1"/>
    <x v="0"/>
    <s v="Rahul"/>
    <n v="4413"/>
    <n v="8"/>
    <n v="19"/>
    <x v="2"/>
    <n v="35304"/>
    <n v="28596.239999999998"/>
  </r>
  <r>
    <s v="ORD1730"/>
    <x v="325"/>
    <x v="3"/>
    <x v="2"/>
    <x v="1"/>
    <s v="Kiran"/>
    <n v="8294"/>
    <n v="1"/>
    <n v="14"/>
    <x v="0"/>
    <n v="8294"/>
    <n v="7132.84"/>
  </r>
  <r>
    <s v="ORD1731"/>
    <x v="78"/>
    <x v="2"/>
    <x v="3"/>
    <x v="1"/>
    <s v="Sneha"/>
    <n v="6234"/>
    <n v="7"/>
    <n v="25"/>
    <x v="1"/>
    <n v="43638"/>
    <n v="32728.5"/>
  </r>
  <r>
    <s v="ORD1733"/>
    <x v="251"/>
    <x v="3"/>
    <x v="4"/>
    <x v="0"/>
    <s v="Sneha"/>
    <n v="2851"/>
    <n v="9"/>
    <n v="10"/>
    <x v="2"/>
    <n v="25659"/>
    <n v="23093.1"/>
  </r>
  <r>
    <s v="ORD1734"/>
    <x v="245"/>
    <x v="1"/>
    <x v="3"/>
    <x v="0"/>
    <s v="Kiran"/>
    <n v="28944"/>
    <n v="4"/>
    <n v="9"/>
    <x v="0"/>
    <n v="115776"/>
    <n v="105356.16"/>
  </r>
  <r>
    <s v="ORD1735"/>
    <x v="356"/>
    <x v="3"/>
    <x v="3"/>
    <x v="1"/>
    <s v="Priya"/>
    <n v="30162"/>
    <n v="3"/>
    <n v="28"/>
    <x v="0"/>
    <n v="90486"/>
    <n v="65149.919999999998"/>
  </r>
  <r>
    <s v="ORD1736"/>
    <x v="115"/>
    <x v="1"/>
    <x v="2"/>
    <x v="1"/>
    <s v="Kiran"/>
    <n v="4536"/>
    <n v="8"/>
    <n v="24"/>
    <x v="0"/>
    <n v="36288"/>
    <n v="27578.879999999997"/>
  </r>
  <r>
    <s v="ORD1737"/>
    <x v="37"/>
    <x v="2"/>
    <x v="3"/>
    <x v="0"/>
    <s v="Ravi"/>
    <n v="48687"/>
    <n v="3"/>
    <n v="28"/>
    <x v="0"/>
    <n v="146061"/>
    <n v="105163.92"/>
  </r>
  <r>
    <s v="ORD1738"/>
    <x v="11"/>
    <x v="1"/>
    <x v="3"/>
    <x v="0"/>
    <s v="Priya"/>
    <n v="29077"/>
    <n v="6"/>
    <n v="4"/>
    <x v="1"/>
    <n v="174462"/>
    <n v="167483.51999999999"/>
  </r>
  <r>
    <s v="ORD1739"/>
    <x v="318"/>
    <x v="0"/>
    <x v="0"/>
    <x v="1"/>
    <s v="Kiran"/>
    <n v="47794"/>
    <n v="7"/>
    <n v="24"/>
    <x v="2"/>
    <n v="334558"/>
    <n v="254264.08000000002"/>
  </r>
  <r>
    <s v="ORD1740"/>
    <x v="232"/>
    <x v="0"/>
    <x v="3"/>
    <x v="0"/>
    <s v="Amit"/>
    <n v="15621"/>
    <n v="2"/>
    <n v="21"/>
    <x v="1"/>
    <n v="31242"/>
    <n v="24681.18"/>
  </r>
  <r>
    <s v="ORD1741"/>
    <x v="323"/>
    <x v="3"/>
    <x v="0"/>
    <x v="0"/>
    <s v="Kiran"/>
    <n v="20748"/>
    <n v="2"/>
    <n v="3"/>
    <x v="0"/>
    <n v="41496"/>
    <n v="40251.120000000003"/>
  </r>
  <r>
    <s v="ORD1742"/>
    <x v="221"/>
    <x v="1"/>
    <x v="2"/>
    <x v="1"/>
    <s v="Anjali"/>
    <n v="26923"/>
    <n v="2"/>
    <n v="1"/>
    <x v="2"/>
    <n v="53846"/>
    <n v="53307.54"/>
  </r>
  <r>
    <s v="ORD1743"/>
    <x v="185"/>
    <x v="2"/>
    <x v="2"/>
    <x v="1"/>
    <s v="Priya"/>
    <n v="7114"/>
    <n v="3"/>
    <n v="9"/>
    <x v="0"/>
    <n v="21342"/>
    <n v="19421.22"/>
  </r>
  <r>
    <s v="ORD1745"/>
    <x v="62"/>
    <x v="2"/>
    <x v="3"/>
    <x v="1"/>
    <s v="Ravi"/>
    <n v="27668"/>
    <n v="5"/>
    <n v="25"/>
    <x v="1"/>
    <n v="138340"/>
    <n v="103755"/>
  </r>
  <r>
    <s v="ORD1746"/>
    <x v="309"/>
    <x v="2"/>
    <x v="2"/>
    <x v="1"/>
    <s v="Sneha"/>
    <n v="4548"/>
    <n v="7"/>
    <n v="8"/>
    <x v="2"/>
    <n v="31836"/>
    <n v="29289.119999999999"/>
  </r>
  <r>
    <s v="ORD1748"/>
    <x v="287"/>
    <x v="0"/>
    <x v="1"/>
    <x v="1"/>
    <s v="Kiran"/>
    <n v="13249"/>
    <n v="10"/>
    <n v="19"/>
    <x v="0"/>
    <n v="132490"/>
    <n v="107316.9"/>
  </r>
  <r>
    <s v="ORD1750"/>
    <x v="212"/>
    <x v="0"/>
    <x v="3"/>
    <x v="1"/>
    <s v="Kiran"/>
    <n v="42864"/>
    <n v="8"/>
    <n v="19"/>
    <x v="2"/>
    <n v="342912"/>
    <n v="277758.71999999997"/>
  </r>
  <r>
    <s v="ORD1751"/>
    <x v="350"/>
    <x v="3"/>
    <x v="0"/>
    <x v="1"/>
    <s v="Priya"/>
    <n v="47305"/>
    <n v="8"/>
    <n v="3"/>
    <x v="1"/>
    <n v="378440"/>
    <n v="367086.8"/>
  </r>
  <r>
    <s v="ORD1752"/>
    <x v="76"/>
    <x v="1"/>
    <x v="1"/>
    <x v="1"/>
    <s v="Kiran"/>
    <n v="25088"/>
    <n v="3"/>
    <n v="4"/>
    <x v="2"/>
    <n v="75264"/>
    <n v="72253.440000000002"/>
  </r>
  <r>
    <s v="ORD1753"/>
    <x v="24"/>
    <x v="0"/>
    <x v="3"/>
    <x v="0"/>
    <s v="Sneha"/>
    <n v="4722"/>
    <n v="5"/>
    <n v="13"/>
    <x v="1"/>
    <n v="23610"/>
    <n v="20540.7"/>
  </r>
  <r>
    <s v="ORD1754"/>
    <x v="352"/>
    <x v="0"/>
    <x v="1"/>
    <x v="0"/>
    <s v="Amit"/>
    <n v="47828"/>
    <n v="6"/>
    <n v="25"/>
    <x v="1"/>
    <n v="286968"/>
    <n v="215226"/>
  </r>
  <r>
    <s v="ORD1755"/>
    <x v="343"/>
    <x v="3"/>
    <x v="4"/>
    <x v="1"/>
    <s v="Ravi"/>
    <n v="41606"/>
    <n v="8"/>
    <n v="23"/>
    <x v="1"/>
    <n v="332848"/>
    <n v="256292.96000000002"/>
  </r>
  <r>
    <s v="ORD1756"/>
    <x v="173"/>
    <x v="2"/>
    <x v="1"/>
    <x v="1"/>
    <s v="Priya"/>
    <n v="41084"/>
    <n v="8"/>
    <n v="27"/>
    <x v="0"/>
    <n v="328672"/>
    <n v="239930.56"/>
  </r>
  <r>
    <s v="ORD1758"/>
    <x v="211"/>
    <x v="3"/>
    <x v="2"/>
    <x v="0"/>
    <s v="Kiran"/>
    <n v="41229"/>
    <n v="8"/>
    <n v="16"/>
    <x v="1"/>
    <n v="329832"/>
    <n v="277058.88"/>
  </r>
  <r>
    <s v="ORD1761"/>
    <x v="293"/>
    <x v="3"/>
    <x v="3"/>
    <x v="1"/>
    <s v="Sneha"/>
    <n v="15147"/>
    <n v="2"/>
    <n v="24"/>
    <x v="1"/>
    <n v="30294"/>
    <n v="23023.439999999999"/>
  </r>
  <r>
    <s v="ORD1762"/>
    <x v="250"/>
    <x v="2"/>
    <x v="2"/>
    <x v="1"/>
    <s v="Priya"/>
    <n v="29142"/>
    <n v="6"/>
    <n v="27"/>
    <x v="0"/>
    <n v="174852"/>
    <n v="127641.95999999999"/>
  </r>
  <r>
    <s v="ORD1763"/>
    <x v="136"/>
    <x v="0"/>
    <x v="1"/>
    <x v="1"/>
    <s v="Anjali"/>
    <n v="38047"/>
    <n v="6"/>
    <n v="8"/>
    <x v="1"/>
    <n v="228282"/>
    <n v="210019.44"/>
  </r>
  <r>
    <s v="ORD1764"/>
    <x v="29"/>
    <x v="0"/>
    <x v="3"/>
    <x v="1"/>
    <s v="Sneha"/>
    <n v="49981"/>
    <n v="9"/>
    <n v="20"/>
    <x v="2"/>
    <n v="449829"/>
    <n v="359863.2"/>
  </r>
  <r>
    <s v="ORD1765"/>
    <x v="197"/>
    <x v="0"/>
    <x v="3"/>
    <x v="1"/>
    <s v="Kiran"/>
    <n v="43123"/>
    <n v="5"/>
    <n v="1"/>
    <x v="1"/>
    <n v="215615"/>
    <n v="213458.85"/>
  </r>
  <r>
    <s v="ORD1766"/>
    <x v="285"/>
    <x v="3"/>
    <x v="4"/>
    <x v="0"/>
    <s v="Rahul"/>
    <n v="49509"/>
    <n v="2"/>
    <n v="16"/>
    <x v="1"/>
    <n v="99018"/>
    <n v="83175.12"/>
  </r>
  <r>
    <s v="ORD1767"/>
    <x v="121"/>
    <x v="3"/>
    <x v="0"/>
    <x v="0"/>
    <s v="Amit"/>
    <n v="16868"/>
    <n v="6"/>
    <n v="5"/>
    <x v="1"/>
    <n v="101208"/>
    <n v="96147.6"/>
  </r>
  <r>
    <s v="ORD1768"/>
    <x v="90"/>
    <x v="1"/>
    <x v="3"/>
    <x v="0"/>
    <s v="Kiran"/>
    <n v="10295"/>
    <n v="7"/>
    <n v="19"/>
    <x v="2"/>
    <n v="72065"/>
    <n v="58372.65"/>
  </r>
  <r>
    <s v="ORD1769"/>
    <x v="99"/>
    <x v="0"/>
    <x v="0"/>
    <x v="0"/>
    <s v="Kiran"/>
    <n v="14416"/>
    <n v="5"/>
    <n v="23"/>
    <x v="1"/>
    <n v="72080"/>
    <n v="55501.599999999999"/>
  </r>
  <r>
    <s v="ORD1770"/>
    <x v="180"/>
    <x v="2"/>
    <x v="4"/>
    <x v="1"/>
    <s v="Sneha"/>
    <n v="34607"/>
    <n v="3"/>
    <n v="15"/>
    <x v="0"/>
    <n v="103821"/>
    <n v="88247.85"/>
  </r>
  <r>
    <s v="ORD1771"/>
    <x v="355"/>
    <x v="0"/>
    <x v="0"/>
    <x v="0"/>
    <s v="Anjali"/>
    <n v="24403"/>
    <n v="8"/>
    <n v="2"/>
    <x v="2"/>
    <n v="195224"/>
    <n v="191319.52"/>
  </r>
  <r>
    <s v="ORD1772"/>
    <x v="333"/>
    <x v="2"/>
    <x v="4"/>
    <x v="0"/>
    <s v="Anjali"/>
    <n v="16789"/>
    <n v="6"/>
    <n v="23"/>
    <x v="2"/>
    <n v="100734"/>
    <n v="77565.179999999993"/>
  </r>
  <r>
    <s v="ORD1773"/>
    <x v="121"/>
    <x v="1"/>
    <x v="4"/>
    <x v="1"/>
    <s v="Amit"/>
    <n v="8903"/>
    <n v="1"/>
    <n v="3"/>
    <x v="0"/>
    <n v="8903"/>
    <n v="8635.91"/>
  </r>
  <r>
    <s v="ORD1774"/>
    <x v="166"/>
    <x v="2"/>
    <x v="3"/>
    <x v="0"/>
    <s v="Amit"/>
    <n v="5574"/>
    <n v="1"/>
    <n v="24"/>
    <x v="2"/>
    <n v="5574"/>
    <n v="4236.24"/>
  </r>
  <r>
    <s v="ORD1775"/>
    <x v="69"/>
    <x v="0"/>
    <x v="0"/>
    <x v="0"/>
    <s v="Amit"/>
    <n v="20329"/>
    <n v="9"/>
    <n v="17"/>
    <x v="1"/>
    <n v="182961"/>
    <n v="151857.63"/>
  </r>
  <r>
    <s v="ORD1777"/>
    <x v="3"/>
    <x v="1"/>
    <x v="0"/>
    <x v="1"/>
    <s v="Amit"/>
    <n v="8513"/>
    <n v="2"/>
    <n v="17"/>
    <x v="1"/>
    <n v="17026"/>
    <n v="14131.58"/>
  </r>
  <r>
    <s v="ORD1778"/>
    <x v="9"/>
    <x v="0"/>
    <x v="1"/>
    <x v="0"/>
    <s v="Kiran"/>
    <n v="4597"/>
    <n v="7"/>
    <n v="24"/>
    <x v="0"/>
    <n v="32179"/>
    <n v="24456.04"/>
  </r>
  <r>
    <s v="ORD1779"/>
    <x v="66"/>
    <x v="1"/>
    <x v="1"/>
    <x v="1"/>
    <s v="Ravi"/>
    <n v="43514"/>
    <n v="9"/>
    <n v="4"/>
    <x v="1"/>
    <n v="391626"/>
    <n v="375960.96"/>
  </r>
  <r>
    <s v="ORD1780"/>
    <x v="277"/>
    <x v="0"/>
    <x v="1"/>
    <x v="1"/>
    <s v="Priya"/>
    <n v="41801"/>
    <n v="1"/>
    <n v="3"/>
    <x v="2"/>
    <n v="41801"/>
    <n v="40546.97"/>
  </r>
  <r>
    <s v="ORD1781"/>
    <x v="130"/>
    <x v="1"/>
    <x v="2"/>
    <x v="0"/>
    <s v="Sneha"/>
    <n v="22018"/>
    <n v="6"/>
    <n v="14"/>
    <x v="1"/>
    <n v="132108"/>
    <n v="113612.88"/>
  </r>
  <r>
    <s v="ORD1782"/>
    <x v="243"/>
    <x v="1"/>
    <x v="2"/>
    <x v="1"/>
    <s v="Ravi"/>
    <n v="15901"/>
    <n v="5"/>
    <n v="20"/>
    <x v="2"/>
    <n v="79505"/>
    <n v="63604"/>
  </r>
  <r>
    <s v="ORD1783"/>
    <x v="233"/>
    <x v="1"/>
    <x v="0"/>
    <x v="1"/>
    <s v="Priya"/>
    <n v="27329"/>
    <n v="5"/>
    <n v="9"/>
    <x v="2"/>
    <n v="136645"/>
    <n v="124346.95"/>
  </r>
  <r>
    <s v="ORD1786"/>
    <x v="302"/>
    <x v="0"/>
    <x v="2"/>
    <x v="0"/>
    <s v="Anjali"/>
    <n v="29573"/>
    <n v="10"/>
    <n v="14"/>
    <x v="2"/>
    <n v="295730"/>
    <n v="254327.8"/>
  </r>
  <r>
    <s v="ORD1787"/>
    <x v="131"/>
    <x v="1"/>
    <x v="0"/>
    <x v="1"/>
    <s v="Amit"/>
    <n v="35630"/>
    <n v="6"/>
    <n v="13"/>
    <x v="2"/>
    <n v="213780"/>
    <n v="185988.6"/>
  </r>
  <r>
    <s v="ORD1788"/>
    <x v="316"/>
    <x v="3"/>
    <x v="0"/>
    <x v="1"/>
    <s v="Ravi"/>
    <n v="42625"/>
    <n v="3"/>
    <n v="8"/>
    <x v="1"/>
    <n v="127875"/>
    <n v="117645"/>
  </r>
  <r>
    <s v="ORD1789"/>
    <x v="185"/>
    <x v="0"/>
    <x v="4"/>
    <x v="1"/>
    <s v="Kiran"/>
    <n v="19845"/>
    <n v="5"/>
    <n v="0"/>
    <x v="2"/>
    <n v="99225"/>
    <n v="99225"/>
  </r>
  <r>
    <s v="ORD1790"/>
    <x v="146"/>
    <x v="2"/>
    <x v="3"/>
    <x v="0"/>
    <s v="Anjali"/>
    <n v="37264"/>
    <n v="9"/>
    <n v="12"/>
    <x v="1"/>
    <n v="335376"/>
    <n v="295130.88"/>
  </r>
  <r>
    <s v="ORD1791"/>
    <x v="164"/>
    <x v="1"/>
    <x v="4"/>
    <x v="1"/>
    <s v="Kiran"/>
    <n v="7921"/>
    <n v="10"/>
    <n v="2"/>
    <x v="2"/>
    <n v="79210"/>
    <n v="77625.8"/>
  </r>
  <r>
    <s v="ORD1792"/>
    <x v="10"/>
    <x v="3"/>
    <x v="2"/>
    <x v="1"/>
    <s v="Sneha"/>
    <n v="17796"/>
    <n v="2"/>
    <n v="9"/>
    <x v="1"/>
    <n v="35592"/>
    <n v="32388.720000000001"/>
  </r>
  <r>
    <s v="ORD1793"/>
    <x v="209"/>
    <x v="0"/>
    <x v="3"/>
    <x v="0"/>
    <s v="Amit"/>
    <n v="41014"/>
    <n v="4"/>
    <n v="6"/>
    <x v="2"/>
    <n v="164056"/>
    <n v="154212.64000000001"/>
  </r>
  <r>
    <s v="ORD1794"/>
    <x v="358"/>
    <x v="3"/>
    <x v="3"/>
    <x v="0"/>
    <s v="Amit"/>
    <n v="18291"/>
    <n v="6"/>
    <n v="15"/>
    <x v="1"/>
    <n v="109746"/>
    <n v="93284.1"/>
  </r>
  <r>
    <s v="ORD1795"/>
    <x v="59"/>
    <x v="3"/>
    <x v="3"/>
    <x v="0"/>
    <s v="Kiran"/>
    <n v="44004"/>
    <n v="5"/>
    <n v="3"/>
    <x v="2"/>
    <n v="220020"/>
    <n v="213419.4"/>
  </r>
  <r>
    <s v="ORD1796"/>
    <x v="337"/>
    <x v="1"/>
    <x v="1"/>
    <x v="0"/>
    <s v="Ravi"/>
    <n v="26877"/>
    <n v="8"/>
    <n v="18"/>
    <x v="1"/>
    <n v="215016"/>
    <n v="176313.12"/>
  </r>
  <r>
    <s v="ORD1799"/>
    <x v="224"/>
    <x v="1"/>
    <x v="4"/>
    <x v="0"/>
    <s v="Priya"/>
    <n v="29334"/>
    <n v="1"/>
    <n v="26"/>
    <x v="1"/>
    <n v="29334"/>
    <n v="21707.16"/>
  </r>
  <r>
    <s v="ORD1800"/>
    <x v="249"/>
    <x v="2"/>
    <x v="2"/>
    <x v="1"/>
    <s v="Priya"/>
    <n v="47413"/>
    <n v="7"/>
    <n v="23"/>
    <x v="2"/>
    <n v="331891"/>
    <n v="255556.07"/>
  </r>
  <r>
    <s v="ORD1801"/>
    <x v="329"/>
    <x v="0"/>
    <x v="4"/>
    <x v="0"/>
    <s v="Rahul"/>
    <n v="17938"/>
    <n v="10"/>
    <n v="19"/>
    <x v="1"/>
    <n v="179380"/>
    <n v="145297.79999999999"/>
  </r>
  <r>
    <s v="ORD1802"/>
    <x v="109"/>
    <x v="0"/>
    <x v="1"/>
    <x v="0"/>
    <s v="Anjali"/>
    <n v="47169"/>
    <n v="10"/>
    <n v="11"/>
    <x v="0"/>
    <n v="471690"/>
    <n v="419804.1"/>
  </r>
  <r>
    <s v="ORD1803"/>
    <x v="314"/>
    <x v="2"/>
    <x v="3"/>
    <x v="1"/>
    <s v="Anjali"/>
    <n v="29759"/>
    <n v="9"/>
    <n v="4"/>
    <x v="2"/>
    <n v="267831"/>
    <n v="257117.76"/>
  </r>
  <r>
    <s v="ORD1805"/>
    <x v="9"/>
    <x v="1"/>
    <x v="0"/>
    <x v="0"/>
    <s v="Kiran"/>
    <n v="24921"/>
    <n v="2"/>
    <n v="22"/>
    <x v="1"/>
    <n v="49842"/>
    <n v="38876.76"/>
  </r>
  <r>
    <s v="ORD1806"/>
    <x v="242"/>
    <x v="2"/>
    <x v="2"/>
    <x v="1"/>
    <s v="Amit"/>
    <n v="12130"/>
    <n v="7"/>
    <n v="20"/>
    <x v="2"/>
    <n v="84910"/>
    <n v="67928"/>
  </r>
  <r>
    <s v="ORD1807"/>
    <x v="151"/>
    <x v="1"/>
    <x v="0"/>
    <x v="1"/>
    <s v="Priya"/>
    <n v="12676"/>
    <n v="3"/>
    <n v="8"/>
    <x v="2"/>
    <n v="38028"/>
    <n v="34985.760000000002"/>
  </r>
  <r>
    <s v="ORD1808"/>
    <x v="338"/>
    <x v="3"/>
    <x v="4"/>
    <x v="0"/>
    <s v="Ravi"/>
    <n v="39528"/>
    <n v="9"/>
    <n v="16"/>
    <x v="0"/>
    <n v="355752"/>
    <n v="298831.68"/>
  </r>
  <r>
    <s v="ORD1810"/>
    <x v="165"/>
    <x v="1"/>
    <x v="3"/>
    <x v="0"/>
    <s v="Kiran"/>
    <n v="13062"/>
    <n v="1"/>
    <n v="20"/>
    <x v="1"/>
    <n v="13062"/>
    <n v="10449.6"/>
  </r>
  <r>
    <s v="ORD1811"/>
    <x v="140"/>
    <x v="2"/>
    <x v="0"/>
    <x v="1"/>
    <s v="Amit"/>
    <n v="35350"/>
    <n v="4"/>
    <n v="23"/>
    <x v="2"/>
    <n v="141400"/>
    <n v="108878"/>
  </r>
  <r>
    <s v="ORD1812"/>
    <x v="333"/>
    <x v="2"/>
    <x v="3"/>
    <x v="1"/>
    <s v="Ravi"/>
    <n v="21817"/>
    <n v="7"/>
    <n v="24"/>
    <x v="0"/>
    <n v="152719"/>
    <n v="116066.44"/>
  </r>
  <r>
    <s v="ORD1813"/>
    <x v="259"/>
    <x v="1"/>
    <x v="3"/>
    <x v="0"/>
    <s v="Ravi"/>
    <n v="19475"/>
    <n v="3"/>
    <n v="9"/>
    <x v="2"/>
    <n v="58425"/>
    <n v="53166.75"/>
  </r>
  <r>
    <s v="ORD1815"/>
    <x v="261"/>
    <x v="0"/>
    <x v="2"/>
    <x v="1"/>
    <s v="Priya"/>
    <n v="42582"/>
    <n v="3"/>
    <n v="22"/>
    <x v="0"/>
    <n v="127746"/>
    <n v="99641.88"/>
  </r>
  <r>
    <s v="ORD1816"/>
    <x v="359"/>
    <x v="0"/>
    <x v="1"/>
    <x v="0"/>
    <s v="Rahul"/>
    <n v="7056"/>
    <n v="2"/>
    <n v="25"/>
    <x v="1"/>
    <n v="14112"/>
    <n v="10584"/>
  </r>
  <r>
    <s v="ORD1819"/>
    <x v="19"/>
    <x v="3"/>
    <x v="4"/>
    <x v="0"/>
    <s v="Kiran"/>
    <n v="40329"/>
    <n v="2"/>
    <n v="8"/>
    <x v="2"/>
    <n v="80658"/>
    <n v="74205.36"/>
  </r>
  <r>
    <s v="ORD1820"/>
    <x v="194"/>
    <x v="0"/>
    <x v="0"/>
    <x v="0"/>
    <s v="Sneha"/>
    <n v="28033"/>
    <n v="7"/>
    <n v="20"/>
    <x v="1"/>
    <n v="196231"/>
    <n v="156984.79999999999"/>
  </r>
  <r>
    <s v="ORD1821"/>
    <x v="234"/>
    <x v="1"/>
    <x v="2"/>
    <x v="1"/>
    <s v="Rahul"/>
    <n v="47092"/>
    <n v="5"/>
    <n v="25"/>
    <x v="0"/>
    <n v="235460"/>
    <n v="176595"/>
  </r>
  <r>
    <s v="ORD1822"/>
    <x v="236"/>
    <x v="0"/>
    <x v="4"/>
    <x v="0"/>
    <s v="Priya"/>
    <n v="35150"/>
    <n v="3"/>
    <n v="2"/>
    <x v="0"/>
    <n v="105450"/>
    <n v="103341"/>
  </r>
  <r>
    <s v="ORD1824"/>
    <x v="355"/>
    <x v="3"/>
    <x v="4"/>
    <x v="0"/>
    <s v="Priya"/>
    <n v="23934"/>
    <n v="7"/>
    <n v="24"/>
    <x v="2"/>
    <n v="167538"/>
    <n v="127328.88"/>
  </r>
  <r>
    <s v="ORD1825"/>
    <x v="291"/>
    <x v="1"/>
    <x v="2"/>
    <x v="1"/>
    <s v="Ravi"/>
    <n v="22041"/>
    <n v="5"/>
    <n v="4"/>
    <x v="1"/>
    <n v="110205"/>
    <n v="105796.8"/>
  </r>
  <r>
    <s v="ORD1826"/>
    <x v="82"/>
    <x v="0"/>
    <x v="2"/>
    <x v="1"/>
    <s v="Sneha"/>
    <n v="38332"/>
    <n v="9"/>
    <n v="27"/>
    <x v="0"/>
    <n v="344988"/>
    <n v="251841.24"/>
  </r>
  <r>
    <s v="ORD1827"/>
    <x v="56"/>
    <x v="0"/>
    <x v="1"/>
    <x v="1"/>
    <s v="Priya"/>
    <n v="15435"/>
    <n v="7"/>
    <n v="13"/>
    <x v="0"/>
    <n v="108045"/>
    <n v="93999.15"/>
  </r>
  <r>
    <s v="ORD1829"/>
    <x v="56"/>
    <x v="0"/>
    <x v="0"/>
    <x v="0"/>
    <s v="Anjali"/>
    <n v="5617"/>
    <n v="3"/>
    <n v="14"/>
    <x v="0"/>
    <n v="16851"/>
    <n v="14491.86"/>
  </r>
  <r>
    <s v="ORD1830"/>
    <x v="18"/>
    <x v="3"/>
    <x v="0"/>
    <x v="0"/>
    <s v="Ravi"/>
    <n v="46894"/>
    <n v="4"/>
    <n v="18"/>
    <x v="2"/>
    <n v="187576"/>
    <n v="153812.32"/>
  </r>
  <r>
    <s v="ORD1831"/>
    <x v="358"/>
    <x v="3"/>
    <x v="4"/>
    <x v="1"/>
    <s v="Anjali"/>
    <n v="12782"/>
    <n v="2"/>
    <n v="18"/>
    <x v="1"/>
    <n v="25564"/>
    <n v="20962.48"/>
  </r>
  <r>
    <s v="ORD1832"/>
    <x v="318"/>
    <x v="1"/>
    <x v="1"/>
    <x v="0"/>
    <s v="Rahul"/>
    <n v="36117"/>
    <n v="2"/>
    <n v="4"/>
    <x v="0"/>
    <n v="72234"/>
    <n v="69344.639999999999"/>
  </r>
  <r>
    <s v="ORD1834"/>
    <x v="275"/>
    <x v="0"/>
    <x v="4"/>
    <x v="0"/>
    <s v="Ravi"/>
    <n v="37770"/>
    <n v="9"/>
    <n v="4"/>
    <x v="1"/>
    <n v="339930"/>
    <n v="326332.79999999999"/>
  </r>
  <r>
    <s v="ORD1835"/>
    <x v="211"/>
    <x v="3"/>
    <x v="4"/>
    <x v="1"/>
    <s v="Anjali"/>
    <n v="23262"/>
    <n v="3"/>
    <n v="27"/>
    <x v="1"/>
    <n v="69786"/>
    <n v="50943.78"/>
  </r>
  <r>
    <s v="ORD1836"/>
    <x v="75"/>
    <x v="3"/>
    <x v="2"/>
    <x v="0"/>
    <s v="Ravi"/>
    <n v="32720"/>
    <n v="6"/>
    <n v="22"/>
    <x v="2"/>
    <n v="196320"/>
    <n v="153129.60000000001"/>
  </r>
  <r>
    <s v="ORD1837"/>
    <x v="268"/>
    <x v="3"/>
    <x v="2"/>
    <x v="1"/>
    <s v="Kiran"/>
    <n v="25682"/>
    <n v="3"/>
    <n v="11"/>
    <x v="2"/>
    <n v="77046"/>
    <n v="68570.94"/>
  </r>
  <r>
    <s v="ORD1839"/>
    <x v="110"/>
    <x v="3"/>
    <x v="4"/>
    <x v="1"/>
    <s v="Sneha"/>
    <n v="25959"/>
    <n v="4"/>
    <n v="11"/>
    <x v="0"/>
    <n v="103836"/>
    <n v="92414.040000000008"/>
  </r>
  <r>
    <s v="ORD1840"/>
    <x v="161"/>
    <x v="3"/>
    <x v="4"/>
    <x v="0"/>
    <s v="Ravi"/>
    <n v="21895"/>
    <n v="6"/>
    <n v="23"/>
    <x v="2"/>
    <n v="131370"/>
    <n v="101154.9"/>
  </r>
  <r>
    <s v="ORD1841"/>
    <x v="37"/>
    <x v="0"/>
    <x v="0"/>
    <x v="0"/>
    <s v="Sneha"/>
    <n v="36601"/>
    <n v="3"/>
    <n v="5"/>
    <x v="1"/>
    <n v="109803"/>
    <n v="104312.85"/>
  </r>
  <r>
    <s v="ORD1843"/>
    <x v="38"/>
    <x v="1"/>
    <x v="0"/>
    <x v="1"/>
    <s v="Amit"/>
    <n v="48649"/>
    <n v="1"/>
    <n v="29"/>
    <x v="0"/>
    <n v="48649"/>
    <n v="34540.79"/>
  </r>
  <r>
    <s v="ORD1844"/>
    <x v="37"/>
    <x v="2"/>
    <x v="1"/>
    <x v="1"/>
    <s v="Priya"/>
    <n v="36105"/>
    <n v="2"/>
    <n v="18"/>
    <x v="1"/>
    <n v="72210"/>
    <n v="59212.2"/>
  </r>
  <r>
    <s v="ORD1848"/>
    <x v="323"/>
    <x v="0"/>
    <x v="4"/>
    <x v="1"/>
    <s v="Sneha"/>
    <n v="2366"/>
    <n v="7"/>
    <n v="6"/>
    <x v="2"/>
    <n v="16562"/>
    <n v="15568.28"/>
  </r>
  <r>
    <s v="ORD1849"/>
    <x v="194"/>
    <x v="3"/>
    <x v="3"/>
    <x v="0"/>
    <s v="Rahul"/>
    <n v="18960"/>
    <n v="5"/>
    <n v="29"/>
    <x v="1"/>
    <n v="94800"/>
    <n v="67308"/>
  </r>
  <r>
    <s v="ORD1850"/>
    <x v="101"/>
    <x v="3"/>
    <x v="4"/>
    <x v="0"/>
    <s v="Rahul"/>
    <n v="2445"/>
    <n v="6"/>
    <n v="6"/>
    <x v="1"/>
    <n v="14670"/>
    <n v="13789.8"/>
  </r>
  <r>
    <s v="ORD1851"/>
    <x v="117"/>
    <x v="3"/>
    <x v="4"/>
    <x v="1"/>
    <s v="Anjali"/>
    <n v="8579"/>
    <n v="9"/>
    <n v="26"/>
    <x v="2"/>
    <n v="77211"/>
    <n v="57136.14"/>
  </r>
  <r>
    <s v="ORD1852"/>
    <x v="7"/>
    <x v="2"/>
    <x v="1"/>
    <x v="1"/>
    <s v="Kiran"/>
    <n v="31971"/>
    <n v="8"/>
    <n v="14"/>
    <x v="0"/>
    <n v="255768"/>
    <n v="219960.48"/>
  </r>
  <r>
    <s v="ORD1853"/>
    <x v="39"/>
    <x v="2"/>
    <x v="2"/>
    <x v="0"/>
    <s v="Sneha"/>
    <n v="2083"/>
    <n v="9"/>
    <n v="3"/>
    <x v="1"/>
    <n v="18747"/>
    <n v="18184.59"/>
  </r>
  <r>
    <s v="ORD1854"/>
    <x v="219"/>
    <x v="2"/>
    <x v="2"/>
    <x v="1"/>
    <s v="Amit"/>
    <n v="20162"/>
    <n v="1"/>
    <n v="10"/>
    <x v="0"/>
    <n v="20162"/>
    <n v="18145.8"/>
  </r>
  <r>
    <s v="ORD1856"/>
    <x v="261"/>
    <x v="1"/>
    <x v="4"/>
    <x v="0"/>
    <s v="Amit"/>
    <n v="45606"/>
    <n v="9"/>
    <n v="28"/>
    <x v="0"/>
    <n v="410454"/>
    <n v="295526.88"/>
  </r>
  <r>
    <s v="ORD1857"/>
    <x v="355"/>
    <x v="0"/>
    <x v="2"/>
    <x v="1"/>
    <s v="Rahul"/>
    <n v="37003"/>
    <n v="7"/>
    <n v="5"/>
    <x v="1"/>
    <n v="259021"/>
    <n v="246069.95"/>
  </r>
  <r>
    <s v="ORD1858"/>
    <x v="281"/>
    <x v="3"/>
    <x v="3"/>
    <x v="0"/>
    <s v="Rahul"/>
    <n v="41316"/>
    <n v="3"/>
    <n v="10"/>
    <x v="2"/>
    <n v="123948"/>
    <n v="111553.2"/>
  </r>
  <r>
    <s v="ORD1859"/>
    <x v="232"/>
    <x v="3"/>
    <x v="1"/>
    <x v="0"/>
    <s v="Sneha"/>
    <n v="4856"/>
    <n v="5"/>
    <n v="19"/>
    <x v="1"/>
    <n v="24280"/>
    <n v="19666.8"/>
  </r>
  <r>
    <s v="ORD1860"/>
    <x v="80"/>
    <x v="1"/>
    <x v="4"/>
    <x v="1"/>
    <s v="Amit"/>
    <n v="43841"/>
    <n v="2"/>
    <n v="25"/>
    <x v="0"/>
    <n v="87682"/>
    <n v="65761.5"/>
  </r>
  <r>
    <s v="ORD1861"/>
    <x v="333"/>
    <x v="0"/>
    <x v="4"/>
    <x v="0"/>
    <s v="Ravi"/>
    <n v="8051"/>
    <n v="6"/>
    <n v="24"/>
    <x v="2"/>
    <n v="48306"/>
    <n v="36712.559999999998"/>
  </r>
  <r>
    <s v="ORD1862"/>
    <x v="277"/>
    <x v="1"/>
    <x v="1"/>
    <x v="1"/>
    <s v="Ravi"/>
    <n v="3613"/>
    <n v="1"/>
    <n v="22"/>
    <x v="1"/>
    <n v="3613"/>
    <n v="2818.14"/>
  </r>
  <r>
    <s v="ORD1863"/>
    <x v="128"/>
    <x v="2"/>
    <x v="4"/>
    <x v="0"/>
    <s v="Anjali"/>
    <n v="21380"/>
    <n v="1"/>
    <n v="7"/>
    <x v="0"/>
    <n v="21380"/>
    <n v="19883.400000000001"/>
  </r>
  <r>
    <s v="ORD1864"/>
    <x v="77"/>
    <x v="3"/>
    <x v="4"/>
    <x v="1"/>
    <s v="Rahul"/>
    <n v="44869"/>
    <n v="3"/>
    <n v="30"/>
    <x v="2"/>
    <n v="134607"/>
    <n v="94224.9"/>
  </r>
  <r>
    <s v="ORD1865"/>
    <x v="185"/>
    <x v="2"/>
    <x v="1"/>
    <x v="0"/>
    <s v="Rahul"/>
    <n v="13851"/>
    <n v="2"/>
    <n v="19"/>
    <x v="0"/>
    <n v="27702"/>
    <n v="22438.62"/>
  </r>
  <r>
    <s v="ORD1866"/>
    <x v="176"/>
    <x v="2"/>
    <x v="2"/>
    <x v="0"/>
    <s v="Priya"/>
    <n v="41986"/>
    <n v="4"/>
    <n v="23"/>
    <x v="0"/>
    <n v="167944"/>
    <n v="129316.88"/>
  </r>
  <r>
    <s v="ORD1867"/>
    <x v="345"/>
    <x v="3"/>
    <x v="1"/>
    <x v="0"/>
    <s v="Priya"/>
    <n v="44040"/>
    <n v="5"/>
    <n v="24"/>
    <x v="0"/>
    <n v="220200"/>
    <n v="167352"/>
  </r>
  <r>
    <s v="ORD1868"/>
    <x v="201"/>
    <x v="2"/>
    <x v="3"/>
    <x v="1"/>
    <s v="Kiran"/>
    <n v="41225"/>
    <n v="6"/>
    <n v="4"/>
    <x v="0"/>
    <n v="247350"/>
    <n v="237456"/>
  </r>
  <r>
    <s v="ORD1869"/>
    <x v="360"/>
    <x v="2"/>
    <x v="2"/>
    <x v="1"/>
    <s v="Ravi"/>
    <n v="13230"/>
    <n v="7"/>
    <n v="15"/>
    <x v="2"/>
    <n v="92610"/>
    <n v="78718.5"/>
  </r>
  <r>
    <s v="ORD1870"/>
    <x v="275"/>
    <x v="2"/>
    <x v="3"/>
    <x v="1"/>
    <s v="Priya"/>
    <n v="25601"/>
    <n v="9"/>
    <n v="10"/>
    <x v="1"/>
    <n v="230409"/>
    <n v="207368.1"/>
  </r>
  <r>
    <s v="ORD1871"/>
    <x v="2"/>
    <x v="2"/>
    <x v="0"/>
    <x v="0"/>
    <s v="Sneha"/>
    <n v="42012"/>
    <n v="8"/>
    <n v="6"/>
    <x v="0"/>
    <n v="336096"/>
    <n v="315930.23999999999"/>
  </r>
  <r>
    <s v="ORD1872"/>
    <x v="118"/>
    <x v="3"/>
    <x v="1"/>
    <x v="1"/>
    <s v="Priya"/>
    <n v="5890"/>
    <n v="7"/>
    <n v="13"/>
    <x v="2"/>
    <n v="41230"/>
    <n v="35870.1"/>
  </r>
  <r>
    <s v="ORD1874"/>
    <x v="62"/>
    <x v="2"/>
    <x v="2"/>
    <x v="1"/>
    <s v="Kiran"/>
    <n v="37869"/>
    <n v="4"/>
    <n v="27"/>
    <x v="2"/>
    <n v="151476"/>
    <n v="110577.48000000001"/>
  </r>
  <r>
    <s v="ORD1875"/>
    <x v="12"/>
    <x v="2"/>
    <x v="1"/>
    <x v="0"/>
    <s v="Amit"/>
    <n v="17128"/>
    <n v="1"/>
    <n v="8"/>
    <x v="0"/>
    <n v="17128"/>
    <n v="15757.76"/>
  </r>
  <r>
    <s v="ORD1876"/>
    <x v="87"/>
    <x v="0"/>
    <x v="0"/>
    <x v="0"/>
    <s v="Amit"/>
    <n v="43766"/>
    <n v="1"/>
    <n v="1"/>
    <x v="0"/>
    <n v="43766"/>
    <n v="43328.34"/>
  </r>
  <r>
    <s v="ORD1877"/>
    <x v="87"/>
    <x v="1"/>
    <x v="1"/>
    <x v="1"/>
    <s v="Kiran"/>
    <n v="33742"/>
    <n v="9"/>
    <n v="17"/>
    <x v="0"/>
    <n v="303678"/>
    <n v="252052.74"/>
  </r>
  <r>
    <s v="ORD1878"/>
    <x v="276"/>
    <x v="2"/>
    <x v="3"/>
    <x v="1"/>
    <s v="Sneha"/>
    <n v="24114"/>
    <n v="3"/>
    <n v="0"/>
    <x v="2"/>
    <n v="72342"/>
    <n v="72342"/>
  </r>
  <r>
    <s v="ORD1879"/>
    <x v="56"/>
    <x v="1"/>
    <x v="1"/>
    <x v="1"/>
    <s v="Sneha"/>
    <n v="47558"/>
    <n v="8"/>
    <n v="9"/>
    <x v="0"/>
    <n v="380464"/>
    <n v="346222.24"/>
  </r>
  <r>
    <s v="ORD1880"/>
    <x v="164"/>
    <x v="2"/>
    <x v="3"/>
    <x v="1"/>
    <s v="Sneha"/>
    <n v="49710"/>
    <n v="10"/>
    <n v="2"/>
    <x v="0"/>
    <n v="497100"/>
    <n v="487158"/>
  </r>
  <r>
    <s v="ORD1882"/>
    <x v="151"/>
    <x v="2"/>
    <x v="4"/>
    <x v="1"/>
    <s v="Sneha"/>
    <n v="37133"/>
    <n v="2"/>
    <n v="13"/>
    <x v="2"/>
    <n v="74266"/>
    <n v="64611.42"/>
  </r>
  <r>
    <s v="ORD1883"/>
    <x v="145"/>
    <x v="1"/>
    <x v="1"/>
    <x v="0"/>
    <s v="Priya"/>
    <n v="47578"/>
    <n v="3"/>
    <n v="8"/>
    <x v="0"/>
    <n v="142734"/>
    <n v="131315.28"/>
  </r>
  <r>
    <s v="ORD1884"/>
    <x v="174"/>
    <x v="1"/>
    <x v="0"/>
    <x v="0"/>
    <s v="Kiran"/>
    <n v="38392"/>
    <n v="7"/>
    <n v="1"/>
    <x v="1"/>
    <n v="268744"/>
    <n v="266056.56"/>
  </r>
  <r>
    <s v="ORD1885"/>
    <x v="13"/>
    <x v="0"/>
    <x v="0"/>
    <x v="1"/>
    <s v="Sneha"/>
    <n v="36099"/>
    <n v="8"/>
    <n v="13"/>
    <x v="0"/>
    <n v="288792"/>
    <n v="251249.04"/>
  </r>
  <r>
    <s v="ORD1887"/>
    <x v="124"/>
    <x v="0"/>
    <x v="4"/>
    <x v="1"/>
    <s v="Kiran"/>
    <n v="33467"/>
    <n v="3"/>
    <n v="24"/>
    <x v="0"/>
    <n v="100401"/>
    <n v="76304.759999999995"/>
  </r>
  <r>
    <s v="ORD1888"/>
    <x v="318"/>
    <x v="0"/>
    <x v="1"/>
    <x v="0"/>
    <s v="Rahul"/>
    <n v="33951"/>
    <n v="9"/>
    <n v="4"/>
    <x v="2"/>
    <n v="305559"/>
    <n v="293336.64"/>
  </r>
  <r>
    <s v="ORD1889"/>
    <x v="273"/>
    <x v="0"/>
    <x v="0"/>
    <x v="1"/>
    <s v="Priya"/>
    <n v="11024"/>
    <n v="6"/>
    <n v="29"/>
    <x v="2"/>
    <n v="66144"/>
    <n v="46962.240000000005"/>
  </r>
  <r>
    <s v="ORD1892"/>
    <x v="75"/>
    <x v="2"/>
    <x v="0"/>
    <x v="1"/>
    <s v="Amit"/>
    <n v="25430"/>
    <n v="8"/>
    <n v="20"/>
    <x v="1"/>
    <n v="203440"/>
    <n v="162752"/>
  </r>
  <r>
    <s v="ORD1893"/>
    <x v="172"/>
    <x v="3"/>
    <x v="0"/>
    <x v="0"/>
    <s v="Anjali"/>
    <n v="9750"/>
    <n v="4"/>
    <n v="11"/>
    <x v="1"/>
    <n v="39000"/>
    <n v="34710"/>
  </r>
  <r>
    <s v="ORD1894"/>
    <x v="216"/>
    <x v="0"/>
    <x v="0"/>
    <x v="0"/>
    <s v="Amit"/>
    <n v="39883"/>
    <n v="2"/>
    <n v="3"/>
    <x v="0"/>
    <n v="79766"/>
    <n v="77373.02"/>
  </r>
  <r>
    <s v="ORD1895"/>
    <x v="73"/>
    <x v="3"/>
    <x v="1"/>
    <x v="0"/>
    <s v="Anjali"/>
    <n v="48812"/>
    <n v="10"/>
    <n v="13"/>
    <x v="1"/>
    <n v="488120"/>
    <n v="424664.4"/>
  </r>
  <r>
    <s v="ORD1896"/>
    <x v="312"/>
    <x v="2"/>
    <x v="2"/>
    <x v="1"/>
    <s v="Rahul"/>
    <n v="35060"/>
    <n v="2"/>
    <n v="13"/>
    <x v="2"/>
    <n v="70120"/>
    <n v="61004.4"/>
  </r>
  <r>
    <s v="ORD1897"/>
    <x v="222"/>
    <x v="3"/>
    <x v="2"/>
    <x v="0"/>
    <s v="Kiran"/>
    <n v="28985"/>
    <n v="6"/>
    <n v="17"/>
    <x v="1"/>
    <n v="173910"/>
    <n v="144345.29999999999"/>
  </r>
  <r>
    <s v="ORD1898"/>
    <x v="234"/>
    <x v="1"/>
    <x v="3"/>
    <x v="0"/>
    <s v="Anjali"/>
    <n v="38509"/>
    <n v="4"/>
    <n v="0"/>
    <x v="2"/>
    <n v="154036"/>
    <n v="154036"/>
  </r>
  <r>
    <s v="ORD1899"/>
    <x v="298"/>
    <x v="3"/>
    <x v="2"/>
    <x v="0"/>
    <s v="Rahul"/>
    <n v="32039"/>
    <n v="8"/>
    <n v="16"/>
    <x v="1"/>
    <n v="256312"/>
    <n v="215302.08000000002"/>
  </r>
  <r>
    <s v="ORD1900"/>
    <x v="344"/>
    <x v="2"/>
    <x v="2"/>
    <x v="0"/>
    <s v="Priya"/>
    <n v="37209"/>
    <n v="2"/>
    <n v="5"/>
    <x v="0"/>
    <n v="74418"/>
    <n v="70697.100000000006"/>
  </r>
  <r>
    <s v="ORD1901"/>
    <x v="17"/>
    <x v="1"/>
    <x v="2"/>
    <x v="1"/>
    <s v="Priya"/>
    <n v="42795"/>
    <n v="4"/>
    <n v="6"/>
    <x v="2"/>
    <n v="171180"/>
    <n v="160909.20000000001"/>
  </r>
  <r>
    <s v="ORD1903"/>
    <x v="160"/>
    <x v="3"/>
    <x v="4"/>
    <x v="1"/>
    <s v="Priya"/>
    <n v="42529"/>
    <n v="8"/>
    <n v="20"/>
    <x v="1"/>
    <n v="340232"/>
    <n v="272185.59999999998"/>
  </r>
  <r>
    <s v="ORD1904"/>
    <x v="361"/>
    <x v="2"/>
    <x v="2"/>
    <x v="0"/>
    <s v="Kiran"/>
    <n v="8810"/>
    <n v="1"/>
    <n v="21"/>
    <x v="1"/>
    <n v="8810"/>
    <n v="6959.9"/>
  </r>
  <r>
    <s v="ORD1905"/>
    <x v="22"/>
    <x v="0"/>
    <x v="1"/>
    <x v="0"/>
    <s v="Sneha"/>
    <n v="23832"/>
    <n v="2"/>
    <n v="7"/>
    <x v="2"/>
    <n v="47664"/>
    <n v="44327.519999999997"/>
  </r>
  <r>
    <s v="ORD1906"/>
    <x v="288"/>
    <x v="1"/>
    <x v="1"/>
    <x v="0"/>
    <s v="Kiran"/>
    <n v="13988"/>
    <n v="9"/>
    <n v="25"/>
    <x v="0"/>
    <n v="125892"/>
    <n v="94419"/>
  </r>
  <r>
    <s v="ORD1907"/>
    <x v="133"/>
    <x v="3"/>
    <x v="0"/>
    <x v="1"/>
    <s v="Kiran"/>
    <n v="47201"/>
    <n v="1"/>
    <n v="11"/>
    <x v="1"/>
    <n v="47201"/>
    <n v="42008.89"/>
  </r>
  <r>
    <s v="ORD1908"/>
    <x v="269"/>
    <x v="0"/>
    <x v="4"/>
    <x v="1"/>
    <s v="Kiran"/>
    <n v="21333"/>
    <n v="1"/>
    <n v="17"/>
    <x v="2"/>
    <n v="21333"/>
    <n v="17706.39"/>
  </r>
  <r>
    <s v="ORD1909"/>
    <x v="148"/>
    <x v="2"/>
    <x v="2"/>
    <x v="1"/>
    <s v="Kiran"/>
    <n v="6185"/>
    <n v="9"/>
    <n v="21"/>
    <x v="0"/>
    <n v="55665"/>
    <n v="43975.35"/>
  </r>
  <r>
    <s v="ORD1910"/>
    <x v="343"/>
    <x v="3"/>
    <x v="4"/>
    <x v="1"/>
    <s v="Sneha"/>
    <n v="28586"/>
    <n v="10"/>
    <n v="26"/>
    <x v="0"/>
    <n v="285860"/>
    <n v="211536.4"/>
  </r>
  <r>
    <s v="ORD1911"/>
    <x v="166"/>
    <x v="1"/>
    <x v="4"/>
    <x v="1"/>
    <s v="Amit"/>
    <n v="1328"/>
    <n v="1"/>
    <n v="11"/>
    <x v="0"/>
    <n v="1328"/>
    <n v="1181.92"/>
  </r>
  <r>
    <s v="ORD1912"/>
    <x v="186"/>
    <x v="3"/>
    <x v="4"/>
    <x v="1"/>
    <s v="Priya"/>
    <n v="31123"/>
    <n v="1"/>
    <n v="6"/>
    <x v="0"/>
    <n v="31123"/>
    <n v="29255.62"/>
  </r>
  <r>
    <s v="ORD1913"/>
    <x v="34"/>
    <x v="2"/>
    <x v="3"/>
    <x v="1"/>
    <s v="Kiran"/>
    <n v="20023"/>
    <n v="1"/>
    <n v="20"/>
    <x v="2"/>
    <n v="20023"/>
    <n v="16018.4"/>
  </r>
  <r>
    <s v="ORD1916"/>
    <x v="165"/>
    <x v="1"/>
    <x v="1"/>
    <x v="0"/>
    <s v="Priya"/>
    <n v="21524"/>
    <n v="4"/>
    <n v="11"/>
    <x v="1"/>
    <n v="86096"/>
    <n v="76625.440000000002"/>
  </r>
  <r>
    <s v="ORD1917"/>
    <x v="171"/>
    <x v="1"/>
    <x v="4"/>
    <x v="0"/>
    <s v="Priya"/>
    <n v="9903"/>
    <n v="3"/>
    <n v="10"/>
    <x v="0"/>
    <n v="29709"/>
    <n v="26738.1"/>
  </r>
  <r>
    <s v="ORD1918"/>
    <x v="40"/>
    <x v="3"/>
    <x v="1"/>
    <x v="1"/>
    <s v="Rahul"/>
    <n v="7946"/>
    <n v="5"/>
    <n v="25"/>
    <x v="1"/>
    <n v="39730"/>
    <n v="29797.5"/>
  </r>
  <r>
    <s v="ORD1919"/>
    <x v="299"/>
    <x v="0"/>
    <x v="0"/>
    <x v="0"/>
    <s v="Ravi"/>
    <n v="44147"/>
    <n v="1"/>
    <n v="30"/>
    <x v="0"/>
    <n v="44147"/>
    <n v="30902.9"/>
  </r>
  <r>
    <s v="ORD1920"/>
    <x v="61"/>
    <x v="3"/>
    <x v="0"/>
    <x v="1"/>
    <s v="Amit"/>
    <n v="39298"/>
    <n v="6"/>
    <n v="21"/>
    <x v="1"/>
    <n v="235788"/>
    <n v="186272.52"/>
  </r>
  <r>
    <s v="ORD1921"/>
    <x v="252"/>
    <x v="3"/>
    <x v="2"/>
    <x v="1"/>
    <s v="Kiran"/>
    <n v="43994"/>
    <n v="3"/>
    <n v="30"/>
    <x v="0"/>
    <n v="131982"/>
    <n v="92387.4"/>
  </r>
  <r>
    <s v="ORD1922"/>
    <x v="52"/>
    <x v="2"/>
    <x v="4"/>
    <x v="1"/>
    <s v="Ravi"/>
    <n v="25188"/>
    <n v="9"/>
    <n v="16"/>
    <x v="1"/>
    <n v="226692"/>
    <n v="190421.28"/>
  </r>
  <r>
    <s v="ORD1923"/>
    <x v="265"/>
    <x v="1"/>
    <x v="0"/>
    <x v="0"/>
    <s v="Anjali"/>
    <n v="33647"/>
    <n v="10"/>
    <n v="15"/>
    <x v="0"/>
    <n v="336470"/>
    <n v="285999.5"/>
  </r>
  <r>
    <s v="ORD1924"/>
    <x v="303"/>
    <x v="3"/>
    <x v="2"/>
    <x v="0"/>
    <s v="Ravi"/>
    <n v="34024"/>
    <n v="5"/>
    <n v="3"/>
    <x v="0"/>
    <n v="170120"/>
    <n v="165016.4"/>
  </r>
  <r>
    <s v="ORD1925"/>
    <x v="179"/>
    <x v="1"/>
    <x v="3"/>
    <x v="0"/>
    <s v="Amit"/>
    <n v="14833"/>
    <n v="3"/>
    <n v="27"/>
    <x v="1"/>
    <n v="44499"/>
    <n v="32484.27"/>
  </r>
  <r>
    <s v="ORD1926"/>
    <x v="60"/>
    <x v="3"/>
    <x v="1"/>
    <x v="1"/>
    <s v="Sneha"/>
    <n v="8521"/>
    <n v="7"/>
    <n v="1"/>
    <x v="2"/>
    <n v="59647"/>
    <n v="59050.53"/>
  </r>
  <r>
    <s v="ORD1929"/>
    <x v="11"/>
    <x v="1"/>
    <x v="4"/>
    <x v="0"/>
    <s v="Ravi"/>
    <n v="34224"/>
    <n v="3"/>
    <n v="8"/>
    <x v="2"/>
    <n v="102672"/>
    <n v="94458.240000000005"/>
  </r>
  <r>
    <s v="ORD1930"/>
    <x v="151"/>
    <x v="3"/>
    <x v="4"/>
    <x v="1"/>
    <s v="Ravi"/>
    <n v="22638"/>
    <n v="9"/>
    <n v="29"/>
    <x v="1"/>
    <n v="203742"/>
    <n v="144656.82"/>
  </r>
  <r>
    <s v="ORD1931"/>
    <x v="56"/>
    <x v="0"/>
    <x v="4"/>
    <x v="1"/>
    <s v="Amit"/>
    <n v="701"/>
    <n v="10"/>
    <n v="5"/>
    <x v="2"/>
    <n v="7010"/>
    <n v="6659.5"/>
  </r>
  <r>
    <s v="ORD1932"/>
    <x v="84"/>
    <x v="0"/>
    <x v="0"/>
    <x v="0"/>
    <s v="Priya"/>
    <n v="47101"/>
    <n v="2"/>
    <n v="22"/>
    <x v="1"/>
    <n v="94202"/>
    <n v="73477.56"/>
  </r>
  <r>
    <s v="ORD1933"/>
    <x v="211"/>
    <x v="3"/>
    <x v="2"/>
    <x v="0"/>
    <s v="Amit"/>
    <n v="24780"/>
    <n v="3"/>
    <n v="10"/>
    <x v="1"/>
    <n v="74340"/>
    <n v="66906"/>
  </r>
  <r>
    <s v="ORD1934"/>
    <x v="35"/>
    <x v="2"/>
    <x v="1"/>
    <x v="0"/>
    <s v="Sneha"/>
    <n v="31868"/>
    <n v="3"/>
    <n v="1"/>
    <x v="2"/>
    <n v="95604"/>
    <n v="94647.96"/>
  </r>
  <r>
    <s v="ORD1935"/>
    <x v="43"/>
    <x v="3"/>
    <x v="0"/>
    <x v="1"/>
    <s v="Anjali"/>
    <n v="18498"/>
    <n v="7"/>
    <n v="2"/>
    <x v="2"/>
    <n v="129486"/>
    <n v="126896.28"/>
  </r>
  <r>
    <s v="ORD1936"/>
    <x v="182"/>
    <x v="0"/>
    <x v="0"/>
    <x v="0"/>
    <s v="Anjali"/>
    <n v="20538"/>
    <n v="5"/>
    <n v="4"/>
    <x v="2"/>
    <n v="102690"/>
    <n v="98582.399999999994"/>
  </r>
  <r>
    <s v="ORD1937"/>
    <x v="31"/>
    <x v="0"/>
    <x v="4"/>
    <x v="0"/>
    <s v="Priya"/>
    <n v="31617"/>
    <n v="6"/>
    <n v="26"/>
    <x v="1"/>
    <n v="189702"/>
    <n v="140379.48000000001"/>
  </r>
  <r>
    <s v="ORD1938"/>
    <x v="228"/>
    <x v="3"/>
    <x v="0"/>
    <x v="0"/>
    <s v="Anjali"/>
    <n v="47712"/>
    <n v="8"/>
    <n v="15"/>
    <x v="1"/>
    <n v="381696"/>
    <n v="324441.59999999998"/>
  </r>
  <r>
    <s v="ORD1939"/>
    <x v="64"/>
    <x v="1"/>
    <x v="4"/>
    <x v="0"/>
    <s v="Priya"/>
    <n v="18894"/>
    <n v="4"/>
    <n v="11"/>
    <x v="0"/>
    <n v="75576"/>
    <n v="67262.64"/>
  </r>
  <r>
    <s v="ORD1940"/>
    <x v="33"/>
    <x v="2"/>
    <x v="0"/>
    <x v="0"/>
    <s v="Kiran"/>
    <n v="47751"/>
    <n v="2"/>
    <n v="18"/>
    <x v="2"/>
    <n v="95502"/>
    <n v="78311.64"/>
  </r>
  <r>
    <s v="ORD1941"/>
    <x v="208"/>
    <x v="0"/>
    <x v="3"/>
    <x v="1"/>
    <s v="Kiran"/>
    <n v="10090"/>
    <n v="2"/>
    <n v="20"/>
    <x v="2"/>
    <n v="20180"/>
    <n v="16144"/>
  </r>
  <r>
    <s v="ORD1943"/>
    <x v="156"/>
    <x v="2"/>
    <x v="0"/>
    <x v="1"/>
    <s v="Sneha"/>
    <n v="7952"/>
    <n v="7"/>
    <n v="8"/>
    <x v="2"/>
    <n v="55664"/>
    <n v="51210.879999999997"/>
  </r>
  <r>
    <s v="ORD1944"/>
    <x v="175"/>
    <x v="2"/>
    <x v="0"/>
    <x v="0"/>
    <s v="Anjali"/>
    <n v="8874"/>
    <n v="3"/>
    <n v="6"/>
    <x v="1"/>
    <n v="26622"/>
    <n v="25024.68"/>
  </r>
  <r>
    <s v="ORD1945"/>
    <x v="234"/>
    <x v="1"/>
    <x v="0"/>
    <x v="0"/>
    <s v="Kiran"/>
    <n v="40456"/>
    <n v="10"/>
    <n v="4"/>
    <x v="1"/>
    <n v="404560"/>
    <n v="388377.59999999998"/>
  </r>
  <r>
    <s v="ORD1946"/>
    <x v="54"/>
    <x v="3"/>
    <x v="2"/>
    <x v="1"/>
    <s v="Priya"/>
    <n v="8293"/>
    <n v="4"/>
    <n v="7"/>
    <x v="0"/>
    <n v="33172"/>
    <n v="30849.96"/>
  </r>
  <r>
    <s v="ORD1947"/>
    <x v="362"/>
    <x v="1"/>
    <x v="2"/>
    <x v="0"/>
    <s v="Sneha"/>
    <n v="20235"/>
    <n v="5"/>
    <n v="17"/>
    <x v="2"/>
    <n v="101175"/>
    <n v="83975.25"/>
  </r>
  <r>
    <s v="ORD1948"/>
    <x v="363"/>
    <x v="0"/>
    <x v="2"/>
    <x v="1"/>
    <s v="Ravi"/>
    <n v="49208"/>
    <n v="10"/>
    <n v="22"/>
    <x v="2"/>
    <n v="492080"/>
    <n v="383822.4"/>
  </r>
  <r>
    <s v="ORD1949"/>
    <x v="150"/>
    <x v="1"/>
    <x v="0"/>
    <x v="1"/>
    <s v="Amit"/>
    <n v="44434"/>
    <n v="9"/>
    <n v="11"/>
    <x v="2"/>
    <n v="399906"/>
    <n v="355916.33999999997"/>
  </r>
  <r>
    <s v="ORD1950"/>
    <x v="30"/>
    <x v="3"/>
    <x v="4"/>
    <x v="0"/>
    <s v="Sneha"/>
    <n v="30843"/>
    <n v="5"/>
    <n v="21"/>
    <x v="1"/>
    <n v="154215"/>
    <n v="121829.85"/>
  </r>
  <r>
    <s v="ORD1951"/>
    <x v="192"/>
    <x v="2"/>
    <x v="0"/>
    <x v="0"/>
    <s v="Rahul"/>
    <n v="29912"/>
    <n v="4"/>
    <n v="0"/>
    <x v="0"/>
    <n v="119648"/>
    <n v="119648"/>
  </r>
  <r>
    <s v="ORD1952"/>
    <x v="95"/>
    <x v="3"/>
    <x v="0"/>
    <x v="1"/>
    <s v="Anjali"/>
    <n v="40554"/>
    <n v="4"/>
    <n v="18"/>
    <x v="2"/>
    <n v="162216"/>
    <n v="133017.12"/>
  </r>
  <r>
    <s v="ORD1953"/>
    <x v="108"/>
    <x v="3"/>
    <x v="2"/>
    <x v="1"/>
    <s v="Sneha"/>
    <n v="26400"/>
    <n v="3"/>
    <n v="29"/>
    <x v="2"/>
    <n v="79200"/>
    <n v="56232"/>
  </r>
  <r>
    <s v="ORD1954"/>
    <x v="360"/>
    <x v="1"/>
    <x v="1"/>
    <x v="1"/>
    <s v="Priya"/>
    <n v="40547"/>
    <n v="3"/>
    <n v="1"/>
    <x v="0"/>
    <n v="121641"/>
    <n v="120424.59"/>
  </r>
  <r>
    <s v="ORD1955"/>
    <x v="267"/>
    <x v="3"/>
    <x v="3"/>
    <x v="0"/>
    <s v="Sneha"/>
    <n v="34087"/>
    <n v="6"/>
    <n v="3"/>
    <x v="0"/>
    <n v="204522"/>
    <n v="198386.34"/>
  </r>
  <r>
    <s v="ORD1956"/>
    <x v="68"/>
    <x v="3"/>
    <x v="4"/>
    <x v="0"/>
    <s v="Anjali"/>
    <n v="1252"/>
    <n v="4"/>
    <n v="3"/>
    <x v="0"/>
    <n v="5008"/>
    <n v="4857.76"/>
  </r>
  <r>
    <s v="ORD1957"/>
    <x v="111"/>
    <x v="3"/>
    <x v="0"/>
    <x v="0"/>
    <s v="Rahul"/>
    <n v="47220"/>
    <n v="4"/>
    <n v="20"/>
    <x v="2"/>
    <n v="188880"/>
    <n v="151104"/>
  </r>
  <r>
    <s v="ORD1958"/>
    <x v="317"/>
    <x v="1"/>
    <x v="0"/>
    <x v="1"/>
    <s v="Priya"/>
    <n v="27157"/>
    <n v="8"/>
    <n v="7"/>
    <x v="2"/>
    <n v="217256"/>
    <n v="202048.08"/>
  </r>
  <r>
    <s v="ORD1959"/>
    <x v="267"/>
    <x v="1"/>
    <x v="4"/>
    <x v="0"/>
    <s v="Kiran"/>
    <n v="8382"/>
    <n v="1"/>
    <n v="16"/>
    <x v="1"/>
    <n v="8382"/>
    <n v="7040.88"/>
  </r>
  <r>
    <s v="ORD1961"/>
    <x v="159"/>
    <x v="1"/>
    <x v="0"/>
    <x v="0"/>
    <s v="Anjali"/>
    <n v="34573"/>
    <n v="8"/>
    <n v="7"/>
    <x v="0"/>
    <n v="276584"/>
    <n v="257223.12"/>
  </r>
  <r>
    <s v="ORD1962"/>
    <x v="114"/>
    <x v="3"/>
    <x v="3"/>
    <x v="0"/>
    <s v="Amit"/>
    <n v="9086"/>
    <n v="5"/>
    <n v="23"/>
    <x v="2"/>
    <n v="45430"/>
    <n v="34981.1"/>
  </r>
  <r>
    <s v="ORD1963"/>
    <x v="303"/>
    <x v="2"/>
    <x v="2"/>
    <x v="0"/>
    <s v="Amit"/>
    <n v="42642"/>
    <n v="4"/>
    <n v="19"/>
    <x v="2"/>
    <n v="170568"/>
    <n v="138160.08000000002"/>
  </r>
  <r>
    <s v="ORD1965"/>
    <x v="318"/>
    <x v="2"/>
    <x v="4"/>
    <x v="0"/>
    <s v="Kiran"/>
    <n v="17921"/>
    <n v="4"/>
    <n v="6"/>
    <x v="0"/>
    <n v="71684"/>
    <n v="67382.960000000006"/>
  </r>
  <r>
    <s v="ORD1966"/>
    <x v="78"/>
    <x v="1"/>
    <x v="3"/>
    <x v="1"/>
    <s v="Sneha"/>
    <n v="4906"/>
    <n v="3"/>
    <n v="24"/>
    <x v="1"/>
    <n v="14718"/>
    <n v="11185.68"/>
  </r>
  <r>
    <s v="ORD1967"/>
    <x v="71"/>
    <x v="2"/>
    <x v="0"/>
    <x v="1"/>
    <s v="Sneha"/>
    <n v="30734"/>
    <n v="3"/>
    <n v="17"/>
    <x v="1"/>
    <n v="92202"/>
    <n v="76527.66"/>
  </r>
  <r>
    <s v="ORD1968"/>
    <x v="84"/>
    <x v="2"/>
    <x v="3"/>
    <x v="0"/>
    <s v="Anjali"/>
    <n v="21352"/>
    <n v="9"/>
    <n v="1"/>
    <x v="2"/>
    <n v="192168"/>
    <n v="190246.32"/>
  </r>
  <r>
    <s v="ORD1971"/>
    <x v="288"/>
    <x v="2"/>
    <x v="0"/>
    <x v="0"/>
    <s v="Rahul"/>
    <n v="2964"/>
    <n v="6"/>
    <n v="22"/>
    <x v="0"/>
    <n v="17784"/>
    <n v="13871.52"/>
  </r>
  <r>
    <s v="ORD1972"/>
    <x v="76"/>
    <x v="1"/>
    <x v="3"/>
    <x v="0"/>
    <s v="Priya"/>
    <n v="22654"/>
    <n v="5"/>
    <n v="3"/>
    <x v="1"/>
    <n v="113270"/>
    <n v="109871.9"/>
  </r>
  <r>
    <s v="ORD1973"/>
    <x v="174"/>
    <x v="3"/>
    <x v="0"/>
    <x v="1"/>
    <s v="Amit"/>
    <n v="18014"/>
    <n v="2"/>
    <n v="15"/>
    <x v="2"/>
    <n v="36028"/>
    <n v="30623.8"/>
  </r>
  <r>
    <s v="ORD1974"/>
    <x v="105"/>
    <x v="3"/>
    <x v="3"/>
    <x v="1"/>
    <s v="Ravi"/>
    <n v="7371"/>
    <n v="6"/>
    <n v="9"/>
    <x v="0"/>
    <n v="44226"/>
    <n v="40245.660000000003"/>
  </r>
  <r>
    <s v="ORD1975"/>
    <x v="350"/>
    <x v="1"/>
    <x v="2"/>
    <x v="0"/>
    <s v="Priya"/>
    <n v="32446"/>
    <n v="3"/>
    <n v="26"/>
    <x v="2"/>
    <n v="97338"/>
    <n v="72030.12"/>
  </r>
  <r>
    <s v="ORD1976"/>
    <x v="326"/>
    <x v="0"/>
    <x v="1"/>
    <x v="0"/>
    <s v="Rahul"/>
    <n v="42642"/>
    <n v="5"/>
    <n v="8"/>
    <x v="2"/>
    <n v="213210"/>
    <n v="196153.2"/>
  </r>
  <r>
    <s v="ORD1977"/>
    <x v="26"/>
    <x v="3"/>
    <x v="2"/>
    <x v="1"/>
    <s v="Priya"/>
    <n v="44662"/>
    <n v="3"/>
    <n v="6"/>
    <x v="0"/>
    <n v="133986"/>
    <n v="125946.84"/>
  </r>
  <r>
    <s v="ORD1978"/>
    <x v="228"/>
    <x v="2"/>
    <x v="1"/>
    <x v="0"/>
    <s v="Amit"/>
    <n v="22109"/>
    <n v="4"/>
    <n v="1"/>
    <x v="1"/>
    <n v="88436"/>
    <n v="87551.64"/>
  </r>
  <r>
    <s v="ORD1980"/>
    <x v="134"/>
    <x v="1"/>
    <x v="2"/>
    <x v="1"/>
    <s v="Sneha"/>
    <n v="42475"/>
    <n v="2"/>
    <n v="18"/>
    <x v="0"/>
    <n v="84950"/>
    <n v="69659"/>
  </r>
  <r>
    <s v="ORD1981"/>
    <x v="192"/>
    <x v="1"/>
    <x v="0"/>
    <x v="0"/>
    <s v="Sneha"/>
    <n v="17818"/>
    <n v="7"/>
    <n v="26"/>
    <x v="1"/>
    <n v="124726"/>
    <n v="92297.24"/>
  </r>
  <r>
    <s v="ORD1982"/>
    <x v="299"/>
    <x v="1"/>
    <x v="4"/>
    <x v="0"/>
    <s v="Kiran"/>
    <n v="40336"/>
    <n v="5"/>
    <n v="13"/>
    <x v="2"/>
    <n v="201680"/>
    <n v="175461.6"/>
  </r>
  <r>
    <s v="ORD1983"/>
    <x v="127"/>
    <x v="3"/>
    <x v="0"/>
    <x v="0"/>
    <s v="Kiran"/>
    <n v="41238"/>
    <n v="8"/>
    <n v="30"/>
    <x v="1"/>
    <n v="329904"/>
    <n v="230932.8"/>
  </r>
  <r>
    <s v="ORD1984"/>
    <x v="88"/>
    <x v="1"/>
    <x v="3"/>
    <x v="0"/>
    <s v="Amit"/>
    <n v="35588"/>
    <n v="1"/>
    <n v="17"/>
    <x v="0"/>
    <n v="35588"/>
    <n v="29538.04"/>
  </r>
  <r>
    <s v="ORD1985"/>
    <x v="62"/>
    <x v="3"/>
    <x v="4"/>
    <x v="1"/>
    <s v="Ravi"/>
    <n v="37825"/>
    <n v="3"/>
    <n v="15"/>
    <x v="1"/>
    <n v="113475"/>
    <n v="96453.75"/>
  </r>
  <r>
    <s v="ORD1986"/>
    <x v="292"/>
    <x v="2"/>
    <x v="4"/>
    <x v="1"/>
    <s v="Rahul"/>
    <n v="8717"/>
    <n v="7"/>
    <n v="12"/>
    <x v="2"/>
    <n v="61019"/>
    <n v="53696.72"/>
  </r>
  <r>
    <s v="ORD1987"/>
    <x v="12"/>
    <x v="1"/>
    <x v="0"/>
    <x v="1"/>
    <s v="Ravi"/>
    <n v="23480"/>
    <n v="8"/>
    <n v="15"/>
    <x v="2"/>
    <n v="187840"/>
    <n v="159664"/>
  </r>
  <r>
    <s v="ORD1988"/>
    <x v="301"/>
    <x v="3"/>
    <x v="1"/>
    <x v="1"/>
    <s v="Amit"/>
    <n v="15407"/>
    <n v="7"/>
    <n v="25"/>
    <x v="0"/>
    <n v="107849"/>
    <n v="80886.75"/>
  </r>
  <r>
    <s v="ORD1989"/>
    <x v="262"/>
    <x v="2"/>
    <x v="3"/>
    <x v="1"/>
    <s v="Kiran"/>
    <n v="43169"/>
    <n v="5"/>
    <n v="27"/>
    <x v="1"/>
    <n v="215845"/>
    <n v="157566.85"/>
  </r>
  <r>
    <s v="ORD1990"/>
    <x v="43"/>
    <x v="2"/>
    <x v="3"/>
    <x v="0"/>
    <s v="Kiran"/>
    <n v="30044"/>
    <n v="8"/>
    <n v="13"/>
    <x v="1"/>
    <n v="240352"/>
    <n v="209106.24"/>
  </r>
  <r>
    <s v="ORD1991"/>
    <x v="28"/>
    <x v="2"/>
    <x v="3"/>
    <x v="1"/>
    <s v="Sneha"/>
    <n v="27257"/>
    <n v="2"/>
    <n v="21"/>
    <x v="0"/>
    <n v="54514"/>
    <n v="43066.06"/>
  </r>
  <r>
    <s v="ORD1992"/>
    <x v="207"/>
    <x v="3"/>
    <x v="0"/>
    <x v="0"/>
    <s v="Sneha"/>
    <n v="43560"/>
    <n v="8"/>
    <n v="5"/>
    <x v="0"/>
    <n v="348480"/>
    <n v="331056"/>
  </r>
  <r>
    <s v="ORD1993"/>
    <x v="233"/>
    <x v="1"/>
    <x v="0"/>
    <x v="1"/>
    <s v="Ravi"/>
    <n v="40291"/>
    <n v="4"/>
    <n v="1"/>
    <x v="2"/>
    <n v="161164"/>
    <n v="159552.35999999999"/>
  </r>
  <r>
    <s v="ORD1994"/>
    <x v="39"/>
    <x v="1"/>
    <x v="1"/>
    <x v="0"/>
    <s v="Amit"/>
    <n v="45413"/>
    <n v="10"/>
    <n v="10"/>
    <x v="1"/>
    <n v="454130"/>
    <n v="408717"/>
  </r>
  <r>
    <s v="ORD1996"/>
    <x v="127"/>
    <x v="3"/>
    <x v="1"/>
    <x v="1"/>
    <s v="Priya"/>
    <n v="36629"/>
    <n v="3"/>
    <n v="24"/>
    <x v="2"/>
    <n v="109887"/>
    <n v="83514.12"/>
  </r>
  <r>
    <s v="ORD1997"/>
    <x v="176"/>
    <x v="0"/>
    <x v="2"/>
    <x v="1"/>
    <s v="Amit"/>
    <n v="25638"/>
    <n v="4"/>
    <n v="18"/>
    <x v="2"/>
    <n v="102552"/>
    <n v="84092.64"/>
  </r>
  <r>
    <s v="ORD1999"/>
    <x v="71"/>
    <x v="0"/>
    <x v="3"/>
    <x v="0"/>
    <s v="Sneha"/>
    <n v="31007"/>
    <n v="10"/>
    <n v="3"/>
    <x v="2"/>
    <n v="310070"/>
    <n v="300767.90000000002"/>
  </r>
  <r>
    <s v="ORD2000"/>
    <x v="44"/>
    <x v="3"/>
    <x v="4"/>
    <x v="0"/>
    <s v="Rahul"/>
    <n v="35659"/>
    <n v="3"/>
    <n v="10"/>
    <x v="2"/>
    <n v="106977"/>
    <n v="9627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37ED58-41DE-4CBB-86E7-E56917450B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oduct">
  <location ref="D3:E9" firstHeaderRow="1" firstDataRow="1" firstDataCol="1"/>
  <pivotFields count="14">
    <pivotField showAll="0"/>
    <pivotField showAll="0">
      <items count="365">
        <item x="80"/>
        <item x="48"/>
        <item x="49"/>
        <item x="172"/>
        <item x="131"/>
        <item x="145"/>
        <item x="187"/>
        <item x="101"/>
        <item x="156"/>
        <item x="261"/>
        <item x="125"/>
        <item x="35"/>
        <item x="293"/>
        <item x="358"/>
        <item x="309"/>
        <item x="72"/>
        <item x="30"/>
        <item x="196"/>
        <item x="192"/>
        <item x="185"/>
        <item x="116"/>
        <item x="258"/>
        <item x="197"/>
        <item x="288"/>
        <item x="5"/>
        <item x="130"/>
        <item x="152"/>
        <item x="229"/>
        <item x="272"/>
        <item x="209"/>
        <item x="231"/>
        <item x="67"/>
        <item x="211"/>
        <item x="230"/>
        <item x="242"/>
        <item x="290"/>
        <item x="19"/>
        <item x="27"/>
        <item x="349"/>
        <item x="228"/>
        <item x="139"/>
        <item x="98"/>
        <item x="353"/>
        <item x="354"/>
        <item x="224"/>
        <item x="306"/>
        <item x="93"/>
        <item x="342"/>
        <item x="11"/>
        <item x="113"/>
        <item x="26"/>
        <item x="179"/>
        <item x="111"/>
        <item x="238"/>
        <item x="122"/>
        <item x="251"/>
        <item x="215"/>
        <item x="362"/>
        <item x="161"/>
        <item x="10"/>
        <item x="270"/>
        <item x="147"/>
        <item x="53"/>
        <item x="294"/>
        <item x="33"/>
        <item x="28"/>
        <item x="45"/>
        <item x="198"/>
        <item x="44"/>
        <item x="181"/>
        <item x="165"/>
        <item x="74"/>
        <item x="282"/>
        <item x="87"/>
        <item x="85"/>
        <item x="134"/>
        <item x="300"/>
        <item x="38"/>
        <item x="164"/>
        <item x="283"/>
        <item x="183"/>
        <item x="223"/>
        <item x="319"/>
        <item x="159"/>
        <item x="305"/>
        <item x="47"/>
        <item x="221"/>
        <item x="357"/>
        <item x="70"/>
        <item x="321"/>
        <item x="247"/>
        <item x="61"/>
        <item x="95"/>
        <item x="158"/>
        <item x="277"/>
        <item x="191"/>
        <item x="75"/>
        <item x="246"/>
        <item x="339"/>
        <item x="182"/>
        <item x="146"/>
        <item x="170"/>
        <item x="254"/>
        <item x="129"/>
        <item x="327"/>
        <item x="235"/>
        <item x="112"/>
        <item x="60"/>
        <item x="92"/>
        <item x="20"/>
        <item x="291"/>
        <item x="273"/>
        <item x="16"/>
        <item x="292"/>
        <item x="255"/>
        <item x="186"/>
        <item x="303"/>
        <item x="118"/>
        <item x="332"/>
        <item x="91"/>
        <item x="41"/>
        <item x="40"/>
        <item x="232"/>
        <item x="267"/>
        <item x="66"/>
        <item x="180"/>
        <item x="94"/>
        <item x="106"/>
        <item x="22"/>
        <item x="286"/>
        <item x="199"/>
        <item x="268"/>
        <item x="239"/>
        <item x="107"/>
        <item x="167"/>
        <item x="256"/>
        <item x="250"/>
        <item x="133"/>
        <item x="311"/>
        <item x="117"/>
        <item x="148"/>
        <item x="233"/>
        <item x="304"/>
        <item x="110"/>
        <item x="345"/>
        <item x="336"/>
        <item x="307"/>
        <item x="323"/>
        <item x="275"/>
        <item x="346"/>
        <item x="109"/>
        <item x="361"/>
        <item x="265"/>
        <item x="274"/>
        <item x="259"/>
        <item x="0"/>
        <item x="140"/>
        <item x="119"/>
        <item x="244"/>
        <item x="12"/>
        <item x="302"/>
        <item x="173"/>
        <item x="124"/>
        <item x="280"/>
        <item x="163"/>
        <item x="100"/>
        <item x="289"/>
        <item x="25"/>
        <item x="137"/>
        <item x="184"/>
        <item x="160"/>
        <item x="281"/>
        <item x="79"/>
        <item x="50"/>
        <item x="96"/>
        <item x="77"/>
        <item x="103"/>
        <item x="316"/>
        <item x="359"/>
        <item x="24"/>
        <item x="42"/>
        <item x="325"/>
        <item x="52"/>
        <item x="310"/>
        <item x="210"/>
        <item x="204"/>
        <item x="69"/>
        <item x="1"/>
        <item x="225"/>
        <item x="126"/>
        <item x="341"/>
        <item x="352"/>
        <item x="177"/>
        <item x="360"/>
        <item x="263"/>
        <item x="88"/>
        <item x="4"/>
        <item x="308"/>
        <item x="340"/>
        <item x="207"/>
        <item x="331"/>
        <item x="120"/>
        <item x="144"/>
        <item x="86"/>
        <item x="99"/>
        <item x="178"/>
        <item x="301"/>
        <item x="2"/>
        <item x="9"/>
        <item x="82"/>
        <item x="115"/>
        <item x="127"/>
        <item x="252"/>
        <item x="29"/>
        <item x="89"/>
        <item x="76"/>
        <item x="241"/>
        <item x="157"/>
        <item x="149"/>
        <item x="68"/>
        <item x="151"/>
        <item x="83"/>
        <item x="260"/>
        <item x="153"/>
        <item x="324"/>
        <item x="201"/>
        <item x="194"/>
        <item x="51"/>
        <item x="73"/>
        <item x="34"/>
        <item x="193"/>
        <item x="318"/>
        <item x="326"/>
        <item x="356"/>
        <item x="190"/>
        <item x="271"/>
        <item x="330"/>
        <item x="142"/>
        <item x="218"/>
        <item x="226"/>
        <item x="227"/>
        <item x="136"/>
        <item x="219"/>
        <item x="104"/>
        <item x="236"/>
        <item x="295"/>
        <item x="285"/>
        <item x="62"/>
        <item x="84"/>
        <item x="312"/>
        <item x="121"/>
        <item x="328"/>
        <item x="166"/>
        <item x="176"/>
        <item x="333"/>
        <item x="168"/>
        <item x="266"/>
        <item x="56"/>
        <item x="71"/>
        <item x="3"/>
        <item x="338"/>
        <item x="162"/>
        <item x="171"/>
        <item x="55"/>
        <item x="64"/>
        <item x="188"/>
        <item x="15"/>
        <item x="105"/>
        <item x="212"/>
        <item x="334"/>
        <item x="154"/>
        <item x="313"/>
        <item x="276"/>
        <item x="269"/>
        <item x="348"/>
        <item x="128"/>
        <item x="234"/>
        <item x="7"/>
        <item x="8"/>
        <item x="135"/>
        <item x="97"/>
        <item x="262"/>
        <item x="59"/>
        <item x="195"/>
        <item x="81"/>
        <item x="315"/>
        <item x="363"/>
        <item x="114"/>
        <item x="248"/>
        <item x="31"/>
        <item x="350"/>
        <item x="46"/>
        <item x="240"/>
        <item x="202"/>
        <item x="143"/>
        <item x="174"/>
        <item x="13"/>
        <item x="39"/>
        <item x="23"/>
        <item x="297"/>
        <item x="314"/>
        <item x="245"/>
        <item x="57"/>
        <item x="14"/>
        <item x="213"/>
        <item x="189"/>
        <item x="155"/>
        <item x="278"/>
        <item x="253"/>
        <item x="214"/>
        <item x="78"/>
        <item x="102"/>
        <item x="216"/>
        <item x="317"/>
        <item x="141"/>
        <item x="355"/>
        <item x="337"/>
        <item x="169"/>
        <item x="344"/>
        <item x="132"/>
        <item x="284"/>
        <item x="217"/>
        <item x="257"/>
        <item x="296"/>
        <item x="343"/>
        <item x="243"/>
        <item x="21"/>
        <item x="37"/>
        <item x="36"/>
        <item x="220"/>
        <item x="322"/>
        <item x="123"/>
        <item x="54"/>
        <item x="298"/>
        <item x="138"/>
        <item x="351"/>
        <item x="65"/>
        <item x="63"/>
        <item x="320"/>
        <item x="150"/>
        <item x="43"/>
        <item x="287"/>
        <item x="249"/>
        <item x="206"/>
        <item x="347"/>
        <item x="205"/>
        <item x="90"/>
        <item x="108"/>
        <item x="32"/>
        <item x="18"/>
        <item x="203"/>
        <item x="58"/>
        <item x="200"/>
        <item x="6"/>
        <item x="335"/>
        <item x="237"/>
        <item x="279"/>
        <item x="175"/>
        <item x="264"/>
        <item x="329"/>
        <item x="208"/>
        <item x="17"/>
        <item x="222"/>
        <item x="299"/>
        <item t="default"/>
      </items>
    </pivotField>
    <pivotField showAll="0">
      <items count="5">
        <item x="3"/>
        <item x="2"/>
        <item x="1"/>
        <item x="0"/>
        <item t="default"/>
      </items>
    </pivotField>
    <pivotField axis="axisRow" showAll="0" sortType="descending">
      <items count="6">
        <item x="1"/>
        <item x="0"/>
        <item x="4"/>
        <item x="2"/>
        <item x="3"/>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pivotField showAll="0"/>
    <pivotField showAll="0">
      <items count="4">
        <item x="0"/>
        <item x="1"/>
        <item x="2"/>
        <item t="default"/>
      </items>
    </pivotField>
    <pivotField numFmtId="166" showAll="0"/>
    <pivotField dataField="1" numFmtId="166"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6">
    <i>
      <x v="1"/>
    </i>
    <i>
      <x v="4"/>
    </i>
    <i>
      <x v="2"/>
    </i>
    <i>
      <x v="3"/>
    </i>
    <i>
      <x/>
    </i>
    <i t="grand">
      <x/>
    </i>
  </rowItems>
  <colItems count="1">
    <i/>
  </colItems>
  <dataFields count="1">
    <dataField name="Total_Revenue" fld="11" baseField="0" baseItem="0" numFmtId="165"/>
  </dataFields>
  <formats count="3">
    <format dxfId="5">
      <pivotArea dataOnly="0" labelOnly="1" outline="0" axis="axisValues" fieldPosition="0"/>
    </format>
    <format dxfId="4">
      <pivotArea field="3" type="button" dataOnly="0" labelOnly="1" outline="0" axis="axisRow" fieldPosition="0"/>
    </format>
    <format dxfId="3">
      <pivotArea outline="0" collapsedLevelsAreSubtotals="1"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4"/>
          </reference>
        </references>
      </pivotArea>
    </chartFormat>
    <chartFormat chart="2" format="10">
      <pivotArea type="data" outline="0" fieldPosition="0">
        <references count="2">
          <reference field="4294967294" count="1" selected="0">
            <x v="0"/>
          </reference>
          <reference field="3" count="1" selected="0">
            <x v="2"/>
          </reference>
        </references>
      </pivotArea>
    </chartFormat>
    <chartFormat chart="2" format="11">
      <pivotArea type="data" outline="0" fieldPosition="0">
        <references count="2">
          <reference field="4294967294" count="1" selected="0">
            <x v="0"/>
          </reference>
          <reference field="3" count="1" selected="0">
            <x v="3"/>
          </reference>
        </references>
      </pivotArea>
    </chartFormat>
    <chartFormat chart="2" format="12">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ECBF33-0018-4378-AD6A-B4C3B3A2CD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location ref="A3:B8" firstHeaderRow="1" firstDataRow="1" firstDataCol="1"/>
  <pivotFields count="14">
    <pivotField showAll="0"/>
    <pivotField showAll="0">
      <items count="365">
        <item x="80"/>
        <item x="48"/>
        <item x="49"/>
        <item x="172"/>
        <item x="131"/>
        <item x="145"/>
        <item x="187"/>
        <item x="101"/>
        <item x="156"/>
        <item x="261"/>
        <item x="125"/>
        <item x="35"/>
        <item x="293"/>
        <item x="358"/>
        <item x="309"/>
        <item x="72"/>
        <item x="30"/>
        <item x="196"/>
        <item x="192"/>
        <item x="185"/>
        <item x="116"/>
        <item x="258"/>
        <item x="197"/>
        <item x="288"/>
        <item x="5"/>
        <item x="130"/>
        <item x="152"/>
        <item x="229"/>
        <item x="272"/>
        <item x="209"/>
        <item x="231"/>
        <item x="67"/>
        <item x="211"/>
        <item x="230"/>
        <item x="242"/>
        <item x="290"/>
        <item x="19"/>
        <item x="27"/>
        <item x="349"/>
        <item x="228"/>
        <item x="139"/>
        <item x="98"/>
        <item x="353"/>
        <item x="354"/>
        <item x="224"/>
        <item x="306"/>
        <item x="93"/>
        <item x="342"/>
        <item x="11"/>
        <item x="113"/>
        <item x="26"/>
        <item x="179"/>
        <item x="111"/>
        <item x="238"/>
        <item x="122"/>
        <item x="251"/>
        <item x="215"/>
        <item x="362"/>
        <item x="161"/>
        <item x="10"/>
        <item x="270"/>
        <item x="147"/>
        <item x="53"/>
        <item x="294"/>
        <item x="33"/>
        <item x="28"/>
        <item x="45"/>
        <item x="198"/>
        <item x="44"/>
        <item x="181"/>
        <item x="165"/>
        <item x="74"/>
        <item x="282"/>
        <item x="87"/>
        <item x="85"/>
        <item x="134"/>
        <item x="300"/>
        <item x="38"/>
        <item x="164"/>
        <item x="283"/>
        <item x="183"/>
        <item x="223"/>
        <item x="319"/>
        <item x="159"/>
        <item x="305"/>
        <item x="47"/>
        <item x="221"/>
        <item x="357"/>
        <item x="70"/>
        <item x="321"/>
        <item x="247"/>
        <item x="61"/>
        <item x="95"/>
        <item x="158"/>
        <item x="277"/>
        <item x="191"/>
        <item x="75"/>
        <item x="246"/>
        <item x="339"/>
        <item x="182"/>
        <item x="146"/>
        <item x="170"/>
        <item x="254"/>
        <item x="129"/>
        <item x="327"/>
        <item x="235"/>
        <item x="112"/>
        <item x="60"/>
        <item x="92"/>
        <item x="20"/>
        <item x="291"/>
        <item x="273"/>
        <item x="16"/>
        <item x="292"/>
        <item x="255"/>
        <item x="186"/>
        <item x="303"/>
        <item x="118"/>
        <item x="332"/>
        <item x="91"/>
        <item x="41"/>
        <item x="40"/>
        <item x="232"/>
        <item x="267"/>
        <item x="66"/>
        <item x="180"/>
        <item x="94"/>
        <item x="106"/>
        <item x="22"/>
        <item x="286"/>
        <item x="199"/>
        <item x="268"/>
        <item x="239"/>
        <item x="107"/>
        <item x="167"/>
        <item x="256"/>
        <item x="250"/>
        <item x="133"/>
        <item x="311"/>
        <item x="117"/>
        <item x="148"/>
        <item x="233"/>
        <item x="304"/>
        <item x="110"/>
        <item x="345"/>
        <item x="336"/>
        <item x="307"/>
        <item x="323"/>
        <item x="275"/>
        <item x="346"/>
        <item x="109"/>
        <item x="361"/>
        <item x="265"/>
        <item x="274"/>
        <item x="259"/>
        <item x="0"/>
        <item x="140"/>
        <item x="119"/>
        <item x="244"/>
        <item x="12"/>
        <item x="302"/>
        <item x="173"/>
        <item x="124"/>
        <item x="280"/>
        <item x="163"/>
        <item x="100"/>
        <item x="289"/>
        <item x="25"/>
        <item x="137"/>
        <item x="184"/>
        <item x="160"/>
        <item x="281"/>
        <item x="79"/>
        <item x="50"/>
        <item x="96"/>
        <item x="77"/>
        <item x="103"/>
        <item x="316"/>
        <item x="359"/>
        <item x="24"/>
        <item x="42"/>
        <item x="325"/>
        <item x="52"/>
        <item x="310"/>
        <item x="210"/>
        <item x="204"/>
        <item x="69"/>
        <item x="1"/>
        <item x="225"/>
        <item x="126"/>
        <item x="341"/>
        <item x="352"/>
        <item x="177"/>
        <item x="360"/>
        <item x="263"/>
        <item x="88"/>
        <item x="4"/>
        <item x="308"/>
        <item x="340"/>
        <item x="207"/>
        <item x="331"/>
        <item x="120"/>
        <item x="144"/>
        <item x="86"/>
        <item x="99"/>
        <item x="178"/>
        <item x="301"/>
        <item x="2"/>
        <item x="9"/>
        <item x="82"/>
        <item x="115"/>
        <item x="127"/>
        <item x="252"/>
        <item x="29"/>
        <item x="89"/>
        <item x="76"/>
        <item x="241"/>
        <item x="157"/>
        <item x="149"/>
        <item x="68"/>
        <item x="151"/>
        <item x="83"/>
        <item x="260"/>
        <item x="153"/>
        <item x="324"/>
        <item x="201"/>
        <item x="194"/>
        <item x="51"/>
        <item x="73"/>
        <item x="34"/>
        <item x="193"/>
        <item x="318"/>
        <item x="326"/>
        <item x="356"/>
        <item x="190"/>
        <item x="271"/>
        <item x="330"/>
        <item x="142"/>
        <item x="218"/>
        <item x="226"/>
        <item x="227"/>
        <item x="136"/>
        <item x="219"/>
        <item x="104"/>
        <item x="236"/>
        <item x="295"/>
        <item x="285"/>
        <item x="62"/>
        <item x="84"/>
        <item x="312"/>
        <item x="121"/>
        <item x="328"/>
        <item x="166"/>
        <item x="176"/>
        <item x="333"/>
        <item x="168"/>
        <item x="266"/>
        <item x="56"/>
        <item x="71"/>
        <item x="3"/>
        <item x="338"/>
        <item x="162"/>
        <item x="171"/>
        <item x="55"/>
        <item x="64"/>
        <item x="188"/>
        <item x="15"/>
        <item x="105"/>
        <item x="212"/>
        <item x="334"/>
        <item x="154"/>
        <item x="313"/>
        <item x="276"/>
        <item x="269"/>
        <item x="348"/>
        <item x="128"/>
        <item x="234"/>
        <item x="7"/>
        <item x="8"/>
        <item x="135"/>
        <item x="97"/>
        <item x="262"/>
        <item x="59"/>
        <item x="195"/>
        <item x="81"/>
        <item x="315"/>
        <item x="363"/>
        <item x="114"/>
        <item x="248"/>
        <item x="31"/>
        <item x="350"/>
        <item x="46"/>
        <item x="240"/>
        <item x="202"/>
        <item x="143"/>
        <item x="174"/>
        <item x="13"/>
        <item x="39"/>
        <item x="23"/>
        <item x="297"/>
        <item x="314"/>
        <item x="245"/>
        <item x="57"/>
        <item x="14"/>
        <item x="213"/>
        <item x="189"/>
        <item x="155"/>
        <item x="278"/>
        <item x="253"/>
        <item x="214"/>
        <item x="78"/>
        <item x="102"/>
        <item x="216"/>
        <item x="317"/>
        <item x="141"/>
        <item x="355"/>
        <item x="337"/>
        <item x="169"/>
        <item x="344"/>
        <item x="132"/>
        <item x="284"/>
        <item x="217"/>
        <item x="257"/>
        <item x="296"/>
        <item x="343"/>
        <item x="243"/>
        <item x="21"/>
        <item x="37"/>
        <item x="36"/>
        <item x="220"/>
        <item x="322"/>
        <item x="123"/>
        <item x="54"/>
        <item x="298"/>
        <item x="138"/>
        <item x="351"/>
        <item x="65"/>
        <item x="63"/>
        <item x="320"/>
        <item x="150"/>
        <item x="43"/>
        <item x="287"/>
        <item x="249"/>
        <item x="206"/>
        <item x="347"/>
        <item x="205"/>
        <item x="90"/>
        <item x="108"/>
        <item x="32"/>
        <item x="18"/>
        <item x="203"/>
        <item x="58"/>
        <item x="200"/>
        <item x="6"/>
        <item x="335"/>
        <item x="237"/>
        <item x="279"/>
        <item x="175"/>
        <item x="264"/>
        <item x="329"/>
        <item x="208"/>
        <item x="17"/>
        <item x="222"/>
        <item x="299"/>
        <item t="default"/>
      </items>
    </pivotField>
    <pivotField axis="axisRow" showAll="0">
      <items count="5">
        <item x="3"/>
        <item x="2"/>
        <item x="1"/>
        <item x="0"/>
        <item t="default"/>
      </items>
    </pivotField>
    <pivotField showAll="0">
      <items count="6">
        <item x="1"/>
        <item x="0"/>
        <item x="4"/>
        <item x="2"/>
        <item x="3"/>
        <item t="default"/>
      </items>
    </pivotField>
    <pivotField showAll="0">
      <items count="3">
        <item x="1"/>
        <item x="0"/>
        <item t="default"/>
      </items>
    </pivotField>
    <pivotField showAll="0"/>
    <pivotField showAll="0"/>
    <pivotField showAll="0"/>
    <pivotField showAll="0"/>
    <pivotField showAll="0">
      <items count="4">
        <item x="0"/>
        <item x="1"/>
        <item x="2"/>
        <item t="default"/>
      </items>
    </pivotField>
    <pivotField numFmtId="166" showAll="0"/>
    <pivotField dataField="1" numFmtId="166"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5">
    <i>
      <x/>
    </i>
    <i>
      <x v="1"/>
    </i>
    <i>
      <x v="2"/>
    </i>
    <i>
      <x v="3"/>
    </i>
    <i t="grand">
      <x/>
    </i>
  </rowItems>
  <colItems count="1">
    <i/>
  </colItems>
  <dataFields count="1">
    <dataField name="Total_Revenue" fld="11" baseField="0" baseItem="0" numFmtId="165"/>
  </dataFields>
  <formats count="3">
    <format dxfId="8">
      <pivotArea dataOnly="0" labelOnly="1" outline="0" axis="axisValues" fieldPosition="0"/>
    </format>
    <format dxfId="7">
      <pivotArea field="2" type="button" dataOnly="0" labelOnly="1" outline="0" axis="axisRow" fieldPosition="0"/>
    </format>
    <format dxfId="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E7DB53-24DB-4F3F-9834-50B68312D8C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_Mode">
  <location ref="M3:N7" firstHeaderRow="1" firstDataRow="1" firstDataCol="1"/>
  <pivotFields count="14">
    <pivotField showAll="0"/>
    <pivotField numFmtId="164" showAll="0">
      <items count="365">
        <item x="80"/>
        <item x="48"/>
        <item x="49"/>
        <item x="172"/>
        <item x="131"/>
        <item x="145"/>
        <item x="187"/>
        <item x="101"/>
        <item x="156"/>
        <item x="261"/>
        <item x="125"/>
        <item x="35"/>
        <item x="293"/>
        <item x="358"/>
        <item x="309"/>
        <item x="72"/>
        <item x="30"/>
        <item x="196"/>
        <item x="192"/>
        <item x="185"/>
        <item x="116"/>
        <item x="258"/>
        <item x="197"/>
        <item x="288"/>
        <item x="5"/>
        <item x="130"/>
        <item x="152"/>
        <item x="229"/>
        <item x="272"/>
        <item x="209"/>
        <item x="231"/>
        <item x="67"/>
        <item x="211"/>
        <item x="230"/>
        <item x="242"/>
        <item x="290"/>
        <item x="19"/>
        <item x="27"/>
        <item x="349"/>
        <item x="228"/>
        <item x="139"/>
        <item x="98"/>
        <item x="353"/>
        <item x="354"/>
        <item x="224"/>
        <item x="306"/>
        <item x="93"/>
        <item x="342"/>
        <item x="11"/>
        <item x="113"/>
        <item x="26"/>
        <item x="179"/>
        <item x="111"/>
        <item x="238"/>
        <item x="122"/>
        <item x="251"/>
        <item x="215"/>
        <item x="362"/>
        <item x="161"/>
        <item x="10"/>
        <item x="270"/>
        <item x="147"/>
        <item x="53"/>
        <item x="294"/>
        <item x="33"/>
        <item x="28"/>
        <item x="45"/>
        <item x="198"/>
        <item x="44"/>
        <item x="181"/>
        <item x="165"/>
        <item x="74"/>
        <item x="282"/>
        <item x="87"/>
        <item x="85"/>
        <item x="134"/>
        <item x="300"/>
        <item x="38"/>
        <item x="164"/>
        <item x="283"/>
        <item x="183"/>
        <item x="223"/>
        <item x="319"/>
        <item x="159"/>
        <item x="305"/>
        <item x="47"/>
        <item x="221"/>
        <item x="357"/>
        <item x="70"/>
        <item x="321"/>
        <item x="247"/>
        <item x="61"/>
        <item x="95"/>
        <item x="158"/>
        <item x="277"/>
        <item x="191"/>
        <item x="75"/>
        <item x="246"/>
        <item x="339"/>
        <item x="182"/>
        <item x="146"/>
        <item x="170"/>
        <item x="254"/>
        <item x="129"/>
        <item x="327"/>
        <item x="235"/>
        <item x="112"/>
        <item x="60"/>
        <item x="92"/>
        <item x="20"/>
        <item x="291"/>
        <item x="273"/>
        <item x="16"/>
        <item x="292"/>
        <item x="255"/>
        <item x="186"/>
        <item x="303"/>
        <item x="118"/>
        <item x="332"/>
        <item x="91"/>
        <item x="41"/>
        <item x="40"/>
        <item x="232"/>
        <item x="267"/>
        <item x="66"/>
        <item x="180"/>
        <item x="94"/>
        <item x="106"/>
        <item x="22"/>
        <item x="286"/>
        <item x="199"/>
        <item x="268"/>
        <item x="239"/>
        <item x="107"/>
        <item x="167"/>
        <item x="256"/>
        <item x="250"/>
        <item x="133"/>
        <item x="311"/>
        <item x="117"/>
        <item x="148"/>
        <item x="233"/>
        <item x="304"/>
        <item x="110"/>
        <item x="345"/>
        <item x="336"/>
        <item x="307"/>
        <item x="323"/>
        <item x="275"/>
        <item x="346"/>
        <item x="109"/>
        <item x="361"/>
        <item x="265"/>
        <item x="274"/>
        <item x="259"/>
        <item x="0"/>
        <item x="140"/>
        <item x="119"/>
        <item x="244"/>
        <item x="12"/>
        <item x="302"/>
        <item x="173"/>
        <item x="124"/>
        <item x="280"/>
        <item x="163"/>
        <item x="100"/>
        <item x="289"/>
        <item x="25"/>
        <item x="137"/>
        <item x="184"/>
        <item x="160"/>
        <item x="281"/>
        <item x="79"/>
        <item x="50"/>
        <item x="96"/>
        <item x="77"/>
        <item x="103"/>
        <item x="316"/>
        <item x="359"/>
        <item x="24"/>
        <item x="42"/>
        <item x="325"/>
        <item x="52"/>
        <item x="310"/>
        <item x="210"/>
        <item x="204"/>
        <item x="69"/>
        <item x="1"/>
        <item x="225"/>
        <item x="126"/>
        <item x="341"/>
        <item x="352"/>
        <item x="177"/>
        <item x="360"/>
        <item x="263"/>
        <item x="88"/>
        <item x="4"/>
        <item x="308"/>
        <item x="340"/>
        <item x="207"/>
        <item x="331"/>
        <item x="120"/>
        <item x="144"/>
        <item x="86"/>
        <item x="99"/>
        <item x="178"/>
        <item x="301"/>
        <item x="2"/>
        <item x="9"/>
        <item x="82"/>
        <item x="115"/>
        <item x="127"/>
        <item x="252"/>
        <item x="29"/>
        <item x="89"/>
        <item x="76"/>
        <item x="241"/>
        <item x="157"/>
        <item x="149"/>
        <item x="68"/>
        <item x="151"/>
        <item x="83"/>
        <item x="260"/>
        <item x="153"/>
        <item x="324"/>
        <item x="201"/>
        <item x="194"/>
        <item x="51"/>
        <item x="73"/>
        <item x="34"/>
        <item x="193"/>
        <item x="318"/>
        <item x="326"/>
        <item x="356"/>
        <item x="190"/>
        <item x="271"/>
        <item x="330"/>
        <item x="142"/>
        <item x="218"/>
        <item x="226"/>
        <item x="227"/>
        <item x="136"/>
        <item x="219"/>
        <item x="104"/>
        <item x="236"/>
        <item x="295"/>
        <item x="285"/>
        <item x="62"/>
        <item x="84"/>
        <item x="312"/>
        <item x="121"/>
        <item x="328"/>
        <item x="166"/>
        <item x="176"/>
        <item x="333"/>
        <item x="168"/>
        <item x="266"/>
        <item x="56"/>
        <item x="71"/>
        <item x="3"/>
        <item x="338"/>
        <item x="162"/>
        <item x="171"/>
        <item x="55"/>
        <item x="64"/>
        <item x="188"/>
        <item x="15"/>
        <item x="105"/>
        <item x="212"/>
        <item x="334"/>
        <item x="154"/>
        <item x="313"/>
        <item x="276"/>
        <item x="269"/>
        <item x="348"/>
        <item x="128"/>
        <item x="234"/>
        <item x="7"/>
        <item x="8"/>
        <item x="135"/>
        <item x="97"/>
        <item x="262"/>
        <item x="59"/>
        <item x="195"/>
        <item x="81"/>
        <item x="315"/>
        <item x="363"/>
        <item x="114"/>
        <item x="248"/>
        <item x="31"/>
        <item x="350"/>
        <item x="46"/>
        <item x="240"/>
        <item x="202"/>
        <item x="143"/>
        <item x="174"/>
        <item x="13"/>
        <item x="39"/>
        <item x="23"/>
        <item x="297"/>
        <item x="314"/>
        <item x="245"/>
        <item x="57"/>
        <item x="14"/>
        <item x="213"/>
        <item x="189"/>
        <item x="155"/>
        <item x="278"/>
        <item x="253"/>
        <item x="214"/>
        <item x="78"/>
        <item x="102"/>
        <item x="216"/>
        <item x="317"/>
        <item x="141"/>
        <item x="355"/>
        <item x="337"/>
        <item x="169"/>
        <item x="344"/>
        <item x="132"/>
        <item x="284"/>
        <item x="217"/>
        <item x="257"/>
        <item x="296"/>
        <item x="343"/>
        <item x="243"/>
        <item x="21"/>
        <item x="37"/>
        <item x="36"/>
        <item x="220"/>
        <item x="322"/>
        <item x="123"/>
        <item x="54"/>
        <item x="298"/>
        <item x="138"/>
        <item x="351"/>
        <item x="65"/>
        <item x="63"/>
        <item x="320"/>
        <item x="150"/>
        <item x="43"/>
        <item x="287"/>
        <item x="249"/>
        <item x="206"/>
        <item x="347"/>
        <item x="205"/>
        <item x="90"/>
        <item x="108"/>
        <item x="32"/>
        <item x="18"/>
        <item x="203"/>
        <item x="58"/>
        <item x="200"/>
        <item x="6"/>
        <item x="335"/>
        <item x="237"/>
        <item x="279"/>
        <item x="175"/>
        <item x="264"/>
        <item x="329"/>
        <item x="208"/>
        <item x="17"/>
        <item x="222"/>
        <item x="299"/>
        <item t="default"/>
      </items>
    </pivotField>
    <pivotField showAll="0">
      <items count="5">
        <item x="3"/>
        <item x="2"/>
        <item x="1"/>
        <item x="0"/>
        <item t="default"/>
      </items>
    </pivotField>
    <pivotField showAll="0">
      <items count="6">
        <item x="1"/>
        <item x="0"/>
        <item x="4"/>
        <item x="2"/>
        <item x="3"/>
        <item t="default"/>
      </items>
    </pivotField>
    <pivotField showAll="0">
      <items count="3">
        <item x="1"/>
        <item x="0"/>
        <item t="default"/>
      </items>
    </pivotField>
    <pivotField showAll="0"/>
    <pivotField showAll="0"/>
    <pivotField showAll="0"/>
    <pivotField showAll="0"/>
    <pivotField axis="axisRow" showAll="0">
      <items count="4">
        <item x="0"/>
        <item x="1"/>
        <item x="2"/>
        <item t="default"/>
      </items>
    </pivotField>
    <pivotField numFmtId="166" showAll="0"/>
    <pivotField dataField="1" numFmtId="166" showAll="0"/>
    <pivotField showAll="0" defaultSubtotal="0"/>
    <pivotField showAll="0" defaultSubtotal="0">
      <items count="4">
        <item x="0"/>
        <item x="1"/>
        <item x="2"/>
        <item x="3"/>
      </items>
    </pivotField>
  </pivotFields>
  <rowFields count="1">
    <field x="9"/>
  </rowFields>
  <rowItems count="4">
    <i>
      <x/>
    </i>
    <i>
      <x v="1"/>
    </i>
    <i>
      <x v="2"/>
    </i>
    <i t="grand">
      <x/>
    </i>
  </rowItems>
  <colItems count="1">
    <i/>
  </colItems>
  <dataFields count="1">
    <dataField name="Total_Revenue" fld="11" baseField="0" baseItem="0" numFmtId="165"/>
  </dataFields>
  <formats count="2">
    <format dxfId="10">
      <pivotArea dataOnly="0" labelOnly="1" outline="0" axis="axisValues" fieldPosition="0"/>
    </format>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E0D6D9-F05C-43D3-9B90-2AE3DA61A7A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onthly_Revenue_Trend">
  <location ref="J3:K19" firstHeaderRow="1" firstDataRow="1" firstDataCol="1"/>
  <pivotFields count="14">
    <pivotField showAll="0"/>
    <pivotField showAll="0" defaultSubtotal="0">
      <items count="364">
        <item x="80"/>
        <item x="48"/>
        <item x="49"/>
        <item x="172"/>
        <item x="131"/>
        <item x="145"/>
        <item x="187"/>
        <item x="101"/>
        <item x="156"/>
        <item x="261"/>
        <item x="125"/>
        <item x="35"/>
        <item x="293"/>
        <item x="358"/>
        <item x="309"/>
        <item x="72"/>
        <item x="30"/>
        <item x="196"/>
        <item x="192"/>
        <item x="185"/>
        <item x="116"/>
        <item x="258"/>
        <item x="197"/>
        <item x="288"/>
        <item x="5"/>
        <item x="130"/>
        <item x="152"/>
        <item x="229"/>
        <item x="272"/>
        <item x="209"/>
        <item x="231"/>
        <item x="67"/>
        <item x="211"/>
        <item x="230"/>
        <item x="242"/>
        <item x="290"/>
        <item x="19"/>
        <item x="27"/>
        <item x="349"/>
        <item x="228"/>
        <item x="139"/>
        <item x="98"/>
        <item x="353"/>
        <item x="354"/>
        <item x="224"/>
        <item x="306"/>
        <item x="93"/>
        <item x="342"/>
        <item x="11"/>
        <item x="113"/>
        <item x="26"/>
        <item x="179"/>
        <item x="111"/>
        <item x="238"/>
        <item x="122"/>
        <item x="251"/>
        <item x="215"/>
        <item x="362"/>
        <item x="161"/>
        <item x="10"/>
        <item x="270"/>
        <item x="147"/>
        <item x="53"/>
        <item x="294"/>
        <item x="33"/>
        <item x="28"/>
        <item x="45"/>
        <item x="198"/>
        <item x="44"/>
        <item x="181"/>
        <item x="165"/>
        <item x="74"/>
        <item x="282"/>
        <item x="87"/>
        <item x="85"/>
        <item x="134"/>
        <item x="300"/>
        <item x="38"/>
        <item x="164"/>
        <item x="283"/>
        <item x="183"/>
        <item x="223"/>
        <item x="319"/>
        <item x="159"/>
        <item x="305"/>
        <item x="47"/>
        <item x="221"/>
        <item x="357"/>
        <item x="70"/>
        <item x="321"/>
        <item x="247"/>
        <item x="61"/>
        <item x="95"/>
        <item x="158"/>
        <item x="277"/>
        <item x="191"/>
        <item x="75"/>
        <item x="246"/>
        <item x="339"/>
        <item x="182"/>
        <item x="146"/>
        <item x="170"/>
        <item x="254"/>
        <item x="129"/>
        <item x="327"/>
        <item x="235"/>
        <item x="112"/>
        <item x="60"/>
        <item x="92"/>
        <item x="20"/>
        <item x="291"/>
        <item x="273"/>
        <item x="16"/>
        <item x="292"/>
        <item x="255"/>
        <item x="186"/>
        <item x="303"/>
        <item x="118"/>
        <item x="332"/>
        <item x="91"/>
        <item x="41"/>
        <item x="40"/>
        <item x="232"/>
        <item x="267"/>
        <item x="66"/>
        <item x="180"/>
        <item x="94"/>
        <item x="106"/>
        <item x="22"/>
        <item x="286"/>
        <item x="199"/>
        <item x="268"/>
        <item x="239"/>
        <item x="107"/>
        <item x="167"/>
        <item x="256"/>
        <item x="250"/>
        <item x="133"/>
        <item x="311"/>
        <item x="117"/>
        <item x="148"/>
        <item x="233"/>
        <item x="304"/>
        <item x="110"/>
        <item x="345"/>
        <item x="336"/>
        <item x="307"/>
        <item x="323"/>
        <item x="275"/>
        <item x="346"/>
        <item x="109"/>
        <item x="361"/>
        <item x="265"/>
        <item x="274"/>
        <item x="259"/>
        <item x="0"/>
        <item x="140"/>
        <item x="119"/>
        <item x="244"/>
        <item x="12"/>
        <item x="302"/>
        <item x="173"/>
        <item x="124"/>
        <item x="280"/>
        <item x="163"/>
        <item x="100"/>
        <item x="289"/>
        <item x="25"/>
        <item x="137"/>
        <item x="184"/>
        <item x="160"/>
        <item x="281"/>
        <item x="79"/>
        <item x="50"/>
        <item x="96"/>
        <item x="77"/>
        <item x="103"/>
        <item x="316"/>
        <item x="359"/>
        <item x="24"/>
        <item x="42"/>
        <item x="325"/>
        <item x="52"/>
        <item x="310"/>
        <item x="210"/>
        <item x="204"/>
        <item x="69"/>
        <item x="1"/>
        <item x="225"/>
        <item x="126"/>
        <item x="341"/>
        <item x="352"/>
        <item x="177"/>
        <item x="360"/>
        <item x="263"/>
        <item x="88"/>
        <item x="4"/>
        <item x="308"/>
        <item x="340"/>
        <item x="207"/>
        <item x="331"/>
        <item x="120"/>
        <item x="144"/>
        <item x="86"/>
        <item x="99"/>
        <item x="178"/>
        <item x="301"/>
        <item x="2"/>
        <item x="9"/>
        <item x="82"/>
        <item x="115"/>
        <item x="127"/>
        <item x="252"/>
        <item x="29"/>
        <item x="89"/>
        <item x="76"/>
        <item x="241"/>
        <item x="157"/>
        <item x="149"/>
        <item x="68"/>
        <item x="151"/>
        <item x="83"/>
        <item x="260"/>
        <item x="153"/>
        <item x="324"/>
        <item x="201"/>
        <item x="194"/>
        <item x="51"/>
        <item x="73"/>
        <item x="34"/>
        <item x="193"/>
        <item x="318"/>
        <item x="326"/>
        <item x="356"/>
        <item x="190"/>
        <item x="271"/>
        <item x="330"/>
        <item x="142"/>
        <item x="218"/>
        <item x="226"/>
        <item x="227"/>
        <item x="136"/>
        <item x="219"/>
        <item x="104"/>
        <item x="236"/>
        <item x="295"/>
        <item x="285"/>
        <item x="62"/>
        <item x="84"/>
        <item x="312"/>
        <item x="121"/>
        <item x="328"/>
        <item x="166"/>
        <item x="176"/>
        <item x="333"/>
        <item x="168"/>
        <item x="266"/>
        <item x="56"/>
        <item x="71"/>
        <item x="3"/>
        <item x="338"/>
        <item x="162"/>
        <item x="171"/>
        <item x="55"/>
        <item x="64"/>
        <item x="188"/>
        <item x="15"/>
        <item x="105"/>
        <item x="212"/>
        <item x="334"/>
        <item x="154"/>
        <item x="313"/>
        <item x="276"/>
        <item x="269"/>
        <item x="348"/>
        <item x="128"/>
        <item x="234"/>
        <item x="7"/>
        <item x="8"/>
        <item x="135"/>
        <item x="97"/>
        <item x="262"/>
        <item x="59"/>
        <item x="195"/>
        <item x="81"/>
        <item x="315"/>
        <item x="363"/>
        <item x="114"/>
        <item x="248"/>
        <item x="31"/>
        <item x="350"/>
        <item x="46"/>
        <item x="240"/>
        <item x="202"/>
        <item x="143"/>
        <item x="174"/>
        <item x="13"/>
        <item x="39"/>
        <item x="23"/>
        <item x="297"/>
        <item x="314"/>
        <item x="245"/>
        <item x="57"/>
        <item x="14"/>
        <item x="213"/>
        <item x="189"/>
        <item x="155"/>
        <item x="278"/>
        <item x="253"/>
        <item x="214"/>
        <item x="78"/>
        <item x="102"/>
        <item x="216"/>
        <item x="317"/>
        <item x="141"/>
        <item x="355"/>
        <item x="337"/>
        <item x="169"/>
        <item x="344"/>
        <item x="132"/>
        <item x="284"/>
        <item x="217"/>
        <item x="257"/>
        <item x="296"/>
        <item x="343"/>
        <item x="243"/>
        <item x="21"/>
        <item x="37"/>
        <item x="36"/>
        <item x="220"/>
        <item x="322"/>
        <item x="123"/>
        <item x="54"/>
        <item x="298"/>
        <item x="138"/>
        <item x="351"/>
        <item x="65"/>
        <item x="63"/>
        <item x="320"/>
        <item x="150"/>
        <item x="43"/>
        <item x="287"/>
        <item x="249"/>
        <item x="206"/>
        <item x="347"/>
        <item x="205"/>
        <item x="90"/>
        <item x="108"/>
        <item x="32"/>
        <item x="18"/>
        <item x="203"/>
        <item x="58"/>
        <item x="200"/>
        <item x="6"/>
        <item x="335"/>
        <item x="237"/>
        <item x="279"/>
        <item x="175"/>
        <item x="264"/>
        <item x="329"/>
        <item x="208"/>
        <item x="17"/>
        <item x="222"/>
        <item x="299"/>
      </items>
    </pivotField>
    <pivotField showAll="0">
      <items count="5">
        <item x="3"/>
        <item x="2"/>
        <item x="1"/>
        <item x="0"/>
        <item t="default"/>
      </items>
    </pivotField>
    <pivotField showAll="0">
      <items count="6">
        <item x="1"/>
        <item x="0"/>
        <item x="4"/>
        <item x="2"/>
        <item x="3"/>
        <item t="default"/>
      </items>
    </pivotField>
    <pivotField showAll="0">
      <items count="3">
        <item x="1"/>
        <item x="0"/>
        <item t="default"/>
      </items>
    </pivotField>
    <pivotField showAll="0"/>
    <pivotField showAll="0"/>
    <pivotField showAll="0"/>
    <pivotField showAll="0"/>
    <pivotField showAll="0">
      <items count="4">
        <item x="0"/>
        <item x="1"/>
        <item x="2"/>
        <item t="default"/>
      </items>
    </pivotField>
    <pivotField numFmtId="166" showAll="0"/>
    <pivotField dataField="1" numFmtId="166"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3"/>
    <field x="12"/>
  </rowFields>
  <rowItems count="16">
    <i>
      <x v="1"/>
    </i>
    <i r="1">
      <x v="1"/>
    </i>
    <i r="1">
      <x v="2"/>
    </i>
    <i r="1">
      <x v="3"/>
    </i>
    <i r="1">
      <x v="4"/>
    </i>
    <i r="1">
      <x v="5"/>
    </i>
    <i r="1">
      <x v="6"/>
    </i>
    <i r="1">
      <x v="7"/>
    </i>
    <i r="1">
      <x v="8"/>
    </i>
    <i r="1">
      <x v="9"/>
    </i>
    <i r="1">
      <x v="10"/>
    </i>
    <i r="1">
      <x v="11"/>
    </i>
    <i r="1">
      <x v="12"/>
    </i>
    <i>
      <x v="2"/>
    </i>
    <i r="1">
      <x v="1"/>
    </i>
    <i t="grand">
      <x/>
    </i>
  </rowItems>
  <colItems count="1">
    <i/>
  </colItems>
  <dataFields count="1">
    <dataField name="Total_Revenue" fld="11" baseField="0" baseItem="0" numFmtId="165"/>
  </dataFields>
  <formats count="2">
    <format dxfId="12">
      <pivotArea outline="0" collapsedLevelsAreSubtotals="1" fieldPosition="0"/>
    </format>
    <format dxfId="11">
      <pivotArea dataOnly="0" labelOnly="1" outline="0" axis="axisValues" fieldPosition="0"/>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12" count="1" selected="0">
            <x v="1"/>
          </reference>
          <reference field="13" count="1" selected="0">
            <x v="2"/>
          </reference>
        </references>
      </pivotArea>
    </chartFormat>
    <chartFormat chart="2" format="4">
      <pivotArea type="data" outline="0" fieldPosition="0">
        <references count="3">
          <reference field="4294967294" count="1" selected="0">
            <x v="0"/>
          </reference>
          <reference field="12" count="1" selected="0">
            <x v="1"/>
          </reference>
          <reference field="13" count="1" selected="0">
            <x v="1"/>
          </reference>
        </references>
      </pivotArea>
    </chartFormat>
    <chartFormat chart="2" format="5">
      <pivotArea type="data" outline="0" fieldPosition="0">
        <references count="3">
          <reference field="4294967294" count="1" selected="0">
            <x v="0"/>
          </reference>
          <reference field="12" count="1" selected="0">
            <x v="2"/>
          </reference>
          <reference field="13" count="1" selected="0">
            <x v="1"/>
          </reference>
        </references>
      </pivotArea>
    </chartFormat>
    <chartFormat chart="2" format="6">
      <pivotArea type="data" outline="0" fieldPosition="0">
        <references count="3">
          <reference field="4294967294" count="1" selected="0">
            <x v="0"/>
          </reference>
          <reference field="12" count="1" selected="0">
            <x v="3"/>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97D66E-3FA5-4AC8-BE7B-C5F5C424D0F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G3:H6" firstHeaderRow="1" firstDataRow="1" firstDataCol="1"/>
  <pivotFields count="14">
    <pivotField showAll="0"/>
    <pivotField showAll="0">
      <items count="365">
        <item x="80"/>
        <item x="48"/>
        <item x="49"/>
        <item x="172"/>
        <item x="131"/>
        <item x="145"/>
        <item x="187"/>
        <item x="101"/>
        <item x="156"/>
        <item x="261"/>
        <item x="125"/>
        <item x="35"/>
        <item x="293"/>
        <item x="358"/>
        <item x="309"/>
        <item x="72"/>
        <item x="30"/>
        <item x="196"/>
        <item x="192"/>
        <item x="185"/>
        <item x="116"/>
        <item x="258"/>
        <item x="197"/>
        <item x="288"/>
        <item x="5"/>
        <item x="130"/>
        <item x="152"/>
        <item x="229"/>
        <item x="272"/>
        <item x="209"/>
        <item x="231"/>
        <item x="67"/>
        <item x="211"/>
        <item x="230"/>
        <item x="242"/>
        <item x="290"/>
        <item x="19"/>
        <item x="27"/>
        <item x="349"/>
        <item x="228"/>
        <item x="139"/>
        <item x="98"/>
        <item x="353"/>
        <item x="354"/>
        <item x="224"/>
        <item x="306"/>
        <item x="93"/>
        <item x="342"/>
        <item x="11"/>
        <item x="113"/>
        <item x="26"/>
        <item x="179"/>
        <item x="111"/>
        <item x="238"/>
        <item x="122"/>
        <item x="251"/>
        <item x="215"/>
        <item x="362"/>
        <item x="161"/>
        <item x="10"/>
        <item x="270"/>
        <item x="147"/>
        <item x="53"/>
        <item x="294"/>
        <item x="33"/>
        <item x="28"/>
        <item x="45"/>
        <item x="198"/>
        <item x="44"/>
        <item x="181"/>
        <item x="165"/>
        <item x="74"/>
        <item x="282"/>
        <item x="87"/>
        <item x="85"/>
        <item x="134"/>
        <item x="300"/>
        <item x="38"/>
        <item x="164"/>
        <item x="283"/>
        <item x="183"/>
        <item x="223"/>
        <item x="319"/>
        <item x="159"/>
        <item x="305"/>
        <item x="47"/>
        <item x="221"/>
        <item x="357"/>
        <item x="70"/>
        <item x="321"/>
        <item x="247"/>
        <item x="61"/>
        <item x="95"/>
        <item x="158"/>
        <item x="277"/>
        <item x="191"/>
        <item x="75"/>
        <item x="246"/>
        <item x="339"/>
        <item x="182"/>
        <item x="146"/>
        <item x="170"/>
        <item x="254"/>
        <item x="129"/>
        <item x="327"/>
        <item x="235"/>
        <item x="112"/>
        <item x="60"/>
        <item x="92"/>
        <item x="20"/>
        <item x="291"/>
        <item x="273"/>
        <item x="16"/>
        <item x="292"/>
        <item x="255"/>
        <item x="186"/>
        <item x="303"/>
        <item x="118"/>
        <item x="332"/>
        <item x="91"/>
        <item x="41"/>
        <item x="40"/>
        <item x="232"/>
        <item x="267"/>
        <item x="66"/>
        <item x="180"/>
        <item x="94"/>
        <item x="106"/>
        <item x="22"/>
        <item x="286"/>
        <item x="199"/>
        <item x="268"/>
        <item x="239"/>
        <item x="107"/>
        <item x="167"/>
        <item x="256"/>
        <item x="250"/>
        <item x="133"/>
        <item x="311"/>
        <item x="117"/>
        <item x="148"/>
        <item x="233"/>
        <item x="304"/>
        <item x="110"/>
        <item x="345"/>
        <item x="336"/>
        <item x="307"/>
        <item x="323"/>
        <item x="275"/>
        <item x="346"/>
        <item x="109"/>
        <item x="361"/>
        <item x="265"/>
        <item x="274"/>
        <item x="259"/>
        <item x="0"/>
        <item x="140"/>
        <item x="119"/>
        <item x="244"/>
        <item x="12"/>
        <item x="302"/>
        <item x="173"/>
        <item x="124"/>
        <item x="280"/>
        <item x="163"/>
        <item x="100"/>
        <item x="289"/>
        <item x="25"/>
        <item x="137"/>
        <item x="184"/>
        <item x="160"/>
        <item x="281"/>
        <item x="79"/>
        <item x="50"/>
        <item x="96"/>
        <item x="77"/>
        <item x="103"/>
        <item x="316"/>
        <item x="359"/>
        <item x="24"/>
        <item x="42"/>
        <item x="325"/>
        <item x="52"/>
        <item x="310"/>
        <item x="210"/>
        <item x="204"/>
        <item x="69"/>
        <item x="1"/>
        <item x="225"/>
        <item x="126"/>
        <item x="341"/>
        <item x="352"/>
        <item x="177"/>
        <item x="360"/>
        <item x="263"/>
        <item x="88"/>
        <item x="4"/>
        <item x="308"/>
        <item x="340"/>
        <item x="207"/>
        <item x="331"/>
        <item x="120"/>
        <item x="144"/>
        <item x="86"/>
        <item x="99"/>
        <item x="178"/>
        <item x="301"/>
        <item x="2"/>
        <item x="9"/>
        <item x="82"/>
        <item x="115"/>
        <item x="127"/>
        <item x="252"/>
        <item x="29"/>
        <item x="89"/>
        <item x="76"/>
        <item x="241"/>
        <item x="157"/>
        <item x="149"/>
        <item x="68"/>
        <item x="151"/>
        <item x="83"/>
        <item x="260"/>
        <item x="153"/>
        <item x="324"/>
        <item x="201"/>
        <item x="194"/>
        <item x="51"/>
        <item x="73"/>
        <item x="34"/>
        <item x="193"/>
        <item x="318"/>
        <item x="326"/>
        <item x="356"/>
        <item x="190"/>
        <item x="271"/>
        <item x="330"/>
        <item x="142"/>
        <item x="218"/>
        <item x="226"/>
        <item x="227"/>
        <item x="136"/>
        <item x="219"/>
        <item x="104"/>
        <item x="236"/>
        <item x="295"/>
        <item x="285"/>
        <item x="62"/>
        <item x="84"/>
        <item x="312"/>
        <item x="121"/>
        <item x="328"/>
        <item x="166"/>
        <item x="176"/>
        <item x="333"/>
        <item x="168"/>
        <item x="266"/>
        <item x="56"/>
        <item x="71"/>
        <item x="3"/>
        <item x="338"/>
        <item x="162"/>
        <item x="171"/>
        <item x="55"/>
        <item x="64"/>
        <item x="188"/>
        <item x="15"/>
        <item x="105"/>
        <item x="212"/>
        <item x="334"/>
        <item x="154"/>
        <item x="313"/>
        <item x="276"/>
        <item x="269"/>
        <item x="348"/>
        <item x="128"/>
        <item x="234"/>
        <item x="7"/>
        <item x="8"/>
        <item x="135"/>
        <item x="97"/>
        <item x="262"/>
        <item x="59"/>
        <item x="195"/>
        <item x="81"/>
        <item x="315"/>
        <item x="363"/>
        <item x="114"/>
        <item x="248"/>
        <item x="31"/>
        <item x="350"/>
        <item x="46"/>
        <item x="240"/>
        <item x="202"/>
        <item x="143"/>
        <item x="174"/>
        <item x="13"/>
        <item x="39"/>
        <item x="23"/>
        <item x="297"/>
        <item x="314"/>
        <item x="245"/>
        <item x="57"/>
        <item x="14"/>
        <item x="213"/>
        <item x="189"/>
        <item x="155"/>
        <item x="278"/>
        <item x="253"/>
        <item x="214"/>
        <item x="78"/>
        <item x="102"/>
        <item x="216"/>
        <item x="317"/>
        <item x="141"/>
        <item x="355"/>
        <item x="337"/>
        <item x="169"/>
        <item x="344"/>
        <item x="132"/>
        <item x="284"/>
        <item x="217"/>
        <item x="257"/>
        <item x="296"/>
        <item x="343"/>
        <item x="243"/>
        <item x="21"/>
        <item x="37"/>
        <item x="36"/>
        <item x="220"/>
        <item x="322"/>
        <item x="123"/>
        <item x="54"/>
        <item x="298"/>
        <item x="138"/>
        <item x="351"/>
        <item x="65"/>
        <item x="63"/>
        <item x="320"/>
        <item x="150"/>
        <item x="43"/>
        <item x="287"/>
        <item x="249"/>
        <item x="206"/>
        <item x="347"/>
        <item x="205"/>
        <item x="90"/>
        <item x="108"/>
        <item x="32"/>
        <item x="18"/>
        <item x="203"/>
        <item x="58"/>
        <item x="200"/>
        <item x="6"/>
        <item x="335"/>
        <item x="237"/>
        <item x="279"/>
        <item x="175"/>
        <item x="264"/>
        <item x="329"/>
        <item x="208"/>
        <item x="17"/>
        <item x="222"/>
        <item x="299"/>
        <item t="default"/>
      </items>
    </pivotField>
    <pivotField showAll="0">
      <items count="5">
        <item x="3"/>
        <item x="2"/>
        <item x="1"/>
        <item x="0"/>
        <item t="default"/>
      </items>
    </pivotField>
    <pivotField showAll="0">
      <items count="6">
        <item x="1"/>
        <item x="0"/>
        <item x="4"/>
        <item x="2"/>
        <item x="3"/>
        <item t="default"/>
      </items>
    </pivotField>
    <pivotField axis="axisRow" showAll="0">
      <items count="3">
        <item x="1"/>
        <item x="0"/>
        <item t="default"/>
      </items>
    </pivotField>
    <pivotField showAll="0"/>
    <pivotField showAll="0"/>
    <pivotField showAll="0"/>
    <pivotField showAll="0"/>
    <pivotField showAll="0">
      <items count="4">
        <item x="0"/>
        <item x="1"/>
        <item x="2"/>
        <item t="default"/>
      </items>
    </pivotField>
    <pivotField numFmtId="166" showAll="0"/>
    <pivotField dataField="1" numFmtId="166"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4"/>
  </rowFields>
  <rowItems count="3">
    <i>
      <x/>
    </i>
    <i>
      <x v="1"/>
    </i>
    <i t="grand">
      <x/>
    </i>
  </rowItems>
  <colItems count="1">
    <i/>
  </colItems>
  <dataFields count="1">
    <dataField name="Total_Revenue" fld="11" baseField="0" baseItem="0" numFmtId="165"/>
  </dataFields>
  <formats count="1">
    <format dxfId="1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49AF61E2-0275-4ADB-A4EE-C95C5F11C7FA}" sourceName="PaymentMode">
  <pivotTables>
    <pivotTable tabId="2" name="PivotTable1"/>
    <pivotTable tabId="2" name="PivotTable2"/>
    <pivotTable tabId="2" name="PivotTable3"/>
    <pivotTable tabId="2" name="PivotTable4"/>
    <pivotTable tabId="2" name="PivotTable5"/>
  </pivotTables>
  <data>
    <tabular pivotCacheId="148542716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4ACCAF4-8149-410F-BDAA-82BCB81641BB}" sourceName="Category">
  <pivotTables>
    <pivotTable tabId="2" name="PivotTable1"/>
    <pivotTable tabId="2" name="PivotTable2"/>
    <pivotTable tabId="2" name="PivotTable3"/>
    <pivotTable tabId="2" name="PivotTable4"/>
    <pivotTable tabId="2" name="PivotTable5"/>
  </pivotTables>
  <data>
    <tabular pivotCacheId="148542716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B90B944-131C-4205-ACAC-2AA9FA0953E4}" sourceName="Product">
  <pivotTables>
    <pivotTable tabId="2" name="PivotTable1"/>
    <pivotTable tabId="2" name="PivotTable2"/>
    <pivotTable tabId="2" name="PivotTable3"/>
    <pivotTable tabId="2" name="PivotTable4"/>
    <pivotTable tabId="2" name="PivotTable5"/>
  </pivotTables>
  <data>
    <tabular pivotCacheId="1485427160">
      <items count="5">
        <i x="1" s="1"/>
        <i x="0" s="1"/>
        <i x="4"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20D84E-D150-41B2-B9A8-C791DAB91DB1}" sourceName="Region">
  <pivotTables>
    <pivotTable tabId="2" name="PivotTable1"/>
    <pivotTable tabId="2" name="PivotTable2"/>
    <pivotTable tabId="2" name="PivotTable3"/>
    <pivotTable tabId="2" name="PivotTable4"/>
    <pivotTable tabId="2" name="PivotTable5"/>
  </pivotTables>
  <data>
    <tabular pivotCacheId="1485427160">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ode" xr10:uid="{9AF1F221-95B8-4BE9-9894-EA4AC1272DD3}" cache="Slicer_PaymentMode" caption="PaymentMode" rowHeight="241300"/>
  <slicer name="Category" xr10:uid="{2F144641-5265-41D9-94EB-127C0433FD58}" cache="Slicer_Category" caption="Category" rowHeight="241300"/>
  <slicer name="Product" xr10:uid="{68E41DBE-4B6E-48E6-96E0-8D16AEAAD6CA}" cache="Slicer_Product" caption="Product" rowHeight="241300"/>
  <slicer name="Region" xr10:uid="{D50273BF-884A-4534-8C27-B214BC5C7563}"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3B76DF-B23F-48D6-9335-CC87665C0586}" name="Table1" displayName="Table1" ref="A1:L1632" totalsRowShown="0">
  <autoFilter ref="A1:L1632" xr:uid="{9B3B76DF-B23F-48D6-9335-CC87665C0586}"/>
  <tableColumns count="12">
    <tableColumn id="1" xr3:uid="{D434077A-3A15-4FAD-8552-8064E05E6974}" name="OrderID"/>
    <tableColumn id="2" xr3:uid="{7EBD669B-D56C-4F16-8942-AF65727F7F67}" name="Date" dataDxfId="2"/>
    <tableColumn id="3" xr3:uid="{01D7C7B5-C26F-4EEA-98D7-98A1E44EB9D9}" name="Region"/>
    <tableColumn id="4" xr3:uid="{6AE69FFB-6661-4DAF-8BB3-E0BA6517D4F9}" name="Product"/>
    <tableColumn id="5" xr3:uid="{6E5B752B-FF5C-4AF0-9C3A-3DFDFF895EE8}" name="Category"/>
    <tableColumn id="6" xr3:uid="{DA9FA7A1-9303-43CE-9472-D29F29FA439E}" name="Customer"/>
    <tableColumn id="7" xr3:uid="{7B1617B1-C924-4801-86AB-0F78506BC2A1}" name="Sales"/>
    <tableColumn id="8" xr3:uid="{3F3DA52E-0E50-423E-8E4F-08EFD27FAA4D}" name="Quantity"/>
    <tableColumn id="9" xr3:uid="{1883CC08-23B2-4148-B264-F44C6084CCAA}" name="Discount"/>
    <tableColumn id="10" xr3:uid="{8C4133F0-0CC5-4C7A-80EE-214ACC841339}" name="PaymentMode"/>
    <tableColumn id="12" xr3:uid="{042C0982-FAEF-4A3A-AED7-67404F858026}" name="Revenue" dataDxfId="1">
      <calculatedColumnFormula>Table1[[#This Row],[Sales]]*Table1[[#This Row],[Quantity]]</calculatedColumnFormula>
    </tableColumn>
    <tableColumn id="13" xr3:uid="{C8792168-6DC9-433B-91A8-0A7979E76F4D}" name="Net Revenue" dataDxfId="0">
      <calculatedColumnFormula>Table1[[#This Row],[Revenue]]-(Table1[[#This Row],[Revenue]]*Table1[[#This Row],[Discount]]/100)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C1FAB-C836-4B38-980C-C606F7501DAB}">
  <dimension ref="A3:N19"/>
  <sheetViews>
    <sheetView workbookViewId="0">
      <selection activeCell="E15" sqref="E15"/>
    </sheetView>
  </sheetViews>
  <sheetFormatPr defaultRowHeight="14.4" x14ac:dyDescent="0.55000000000000004"/>
  <cols>
    <col min="1" max="1" width="10.20703125" bestFit="1" customWidth="1"/>
    <col min="2" max="2" width="15.26171875" bestFit="1" customWidth="1"/>
    <col min="4" max="4" width="10.5234375" bestFit="1" customWidth="1"/>
    <col min="5" max="5" width="15.26171875" bestFit="1" customWidth="1"/>
    <col min="7" max="7" width="10.20703125" bestFit="1" customWidth="1"/>
    <col min="8" max="8" width="15.26171875" bestFit="1" customWidth="1"/>
    <col min="10" max="10" width="23.7890625" bestFit="1" customWidth="1"/>
    <col min="11" max="11" width="15.26171875" bestFit="1" customWidth="1"/>
    <col min="13" max="13" width="15.9453125" bestFit="1" customWidth="1"/>
    <col min="14" max="14" width="15.26171875" bestFit="1" customWidth="1"/>
  </cols>
  <sheetData>
    <row r="3" spans="1:14" x14ac:dyDescent="0.55000000000000004">
      <c r="A3" s="8" t="s">
        <v>2</v>
      </c>
      <c r="B3" s="7" t="s">
        <v>1680</v>
      </c>
      <c r="D3" s="8" t="s">
        <v>3</v>
      </c>
      <c r="E3" s="7" t="s">
        <v>1680</v>
      </c>
      <c r="G3" s="5" t="s">
        <v>4</v>
      </c>
      <c r="H3" t="s">
        <v>1680</v>
      </c>
      <c r="J3" s="5" t="s">
        <v>1681</v>
      </c>
      <c r="K3" s="7" t="s">
        <v>1680</v>
      </c>
      <c r="M3" s="5" t="s">
        <v>1679</v>
      </c>
      <c r="N3" s="7" t="s">
        <v>1680</v>
      </c>
    </row>
    <row r="4" spans="1:14" x14ac:dyDescent="0.55000000000000004">
      <c r="A4" s="6" t="s">
        <v>31</v>
      </c>
      <c r="B4" s="3">
        <v>45450800.689999968</v>
      </c>
      <c r="D4" s="6" t="s">
        <v>20</v>
      </c>
      <c r="E4" s="3">
        <v>44802999.54999999</v>
      </c>
      <c r="G4" s="6" t="s">
        <v>17</v>
      </c>
      <c r="H4" s="3">
        <v>99783322.160000026</v>
      </c>
      <c r="J4" s="6" t="s">
        <v>1665</v>
      </c>
      <c r="K4" s="3">
        <v>195009046.34000003</v>
      </c>
      <c r="M4" s="6" t="s">
        <v>13</v>
      </c>
      <c r="N4" s="3">
        <v>62880499.340000004</v>
      </c>
    </row>
    <row r="5" spans="1:14" x14ac:dyDescent="0.55000000000000004">
      <c r="A5" s="6" t="s">
        <v>24</v>
      </c>
      <c r="B5" s="3">
        <v>44910834.539999969</v>
      </c>
      <c r="D5" s="6" t="s">
        <v>46</v>
      </c>
      <c r="E5" s="3">
        <v>40799021.430000015</v>
      </c>
      <c r="G5" s="6" t="s">
        <v>11</v>
      </c>
      <c r="H5" s="3">
        <v>95691286.499999806</v>
      </c>
      <c r="J5" s="9" t="s">
        <v>1666</v>
      </c>
      <c r="K5" s="3">
        <v>19218825.880000003</v>
      </c>
      <c r="M5" s="6" t="s">
        <v>22</v>
      </c>
      <c r="N5" s="3">
        <v>66045837.099999987</v>
      </c>
    </row>
    <row r="6" spans="1:14" x14ac:dyDescent="0.55000000000000004">
      <c r="A6" s="6" t="s">
        <v>15</v>
      </c>
      <c r="B6" s="3">
        <v>56111506.309999958</v>
      </c>
      <c r="D6" s="6" t="s">
        <v>37</v>
      </c>
      <c r="E6" s="3">
        <v>37362502.45000001</v>
      </c>
      <c r="G6" s="6" t="s">
        <v>1664</v>
      </c>
      <c r="H6" s="3">
        <v>195474608.65999985</v>
      </c>
      <c r="J6" s="9" t="s">
        <v>1667</v>
      </c>
      <c r="K6" s="3">
        <v>12369509.369999997</v>
      </c>
      <c r="M6" s="6" t="s">
        <v>25</v>
      </c>
      <c r="N6" s="3">
        <v>66548272.219999894</v>
      </c>
    </row>
    <row r="7" spans="1:14" x14ac:dyDescent="0.55000000000000004">
      <c r="A7" s="6" t="s">
        <v>19</v>
      </c>
      <c r="B7" s="3">
        <v>49001467.12000002</v>
      </c>
      <c r="D7" s="6" t="s">
        <v>27</v>
      </c>
      <c r="E7" s="3">
        <v>36787403.68999999</v>
      </c>
      <c r="J7" s="9" t="s">
        <v>1668</v>
      </c>
      <c r="K7" s="3">
        <v>13923596.99</v>
      </c>
      <c r="M7" s="6" t="s">
        <v>1664</v>
      </c>
      <c r="N7" s="3">
        <v>195474608.65999991</v>
      </c>
    </row>
    <row r="8" spans="1:14" x14ac:dyDescent="0.55000000000000004">
      <c r="A8" s="6" t="s">
        <v>1664</v>
      </c>
      <c r="B8" s="3">
        <v>195474608.65999991</v>
      </c>
      <c r="D8" s="6" t="s">
        <v>16</v>
      </c>
      <c r="E8" s="3">
        <v>35722681.540000014</v>
      </c>
      <c r="J8" s="9" t="s">
        <v>1669</v>
      </c>
      <c r="K8" s="3">
        <v>17500849.819999997</v>
      </c>
    </row>
    <row r="9" spans="1:14" x14ac:dyDescent="0.55000000000000004">
      <c r="D9" s="6" t="s">
        <v>1664</v>
      </c>
      <c r="E9" s="3">
        <v>195474608.66000003</v>
      </c>
      <c r="J9" s="9" t="s">
        <v>1670</v>
      </c>
      <c r="K9" s="3">
        <v>19413944.590000004</v>
      </c>
    </row>
    <row r="10" spans="1:14" x14ac:dyDescent="0.55000000000000004">
      <c r="J10" s="9" t="s">
        <v>1671</v>
      </c>
      <c r="K10" s="3">
        <v>17550367.380000003</v>
      </c>
    </row>
    <row r="11" spans="1:14" x14ac:dyDescent="0.55000000000000004">
      <c r="J11" s="9" t="s">
        <v>1672</v>
      </c>
      <c r="K11" s="3">
        <v>14975233.820000002</v>
      </c>
    </row>
    <row r="12" spans="1:14" x14ac:dyDescent="0.55000000000000004">
      <c r="J12" s="9" t="s">
        <v>1673</v>
      </c>
      <c r="K12" s="3">
        <v>16528002.939999998</v>
      </c>
    </row>
    <row r="13" spans="1:14" x14ac:dyDescent="0.55000000000000004">
      <c r="J13" s="9" t="s">
        <v>1674</v>
      </c>
      <c r="K13" s="3">
        <v>17621584.450000007</v>
      </c>
    </row>
    <row r="14" spans="1:14" x14ac:dyDescent="0.55000000000000004">
      <c r="J14" s="9" t="s">
        <v>1675</v>
      </c>
      <c r="K14" s="3">
        <v>16920564.230000004</v>
      </c>
    </row>
    <row r="15" spans="1:14" x14ac:dyDescent="0.55000000000000004">
      <c r="J15" s="9" t="s">
        <v>1676</v>
      </c>
      <c r="K15" s="3">
        <v>13226039.619999999</v>
      </c>
    </row>
    <row r="16" spans="1:14" x14ac:dyDescent="0.55000000000000004">
      <c r="J16" s="9" t="s">
        <v>1677</v>
      </c>
      <c r="K16" s="3">
        <v>15760527.250000006</v>
      </c>
    </row>
    <row r="17" spans="10:11" x14ac:dyDescent="0.55000000000000004">
      <c r="J17" s="6" t="s">
        <v>1678</v>
      </c>
      <c r="K17" s="3">
        <v>465562.32000000007</v>
      </c>
    </row>
    <row r="18" spans="10:11" x14ac:dyDescent="0.55000000000000004">
      <c r="J18" s="9" t="s">
        <v>1666</v>
      </c>
      <c r="K18" s="3">
        <v>465562.32000000007</v>
      </c>
    </row>
    <row r="19" spans="10:11" x14ac:dyDescent="0.55000000000000004">
      <c r="J19" s="6" t="s">
        <v>1664</v>
      </c>
      <c r="K19" s="3">
        <v>195474608.66000003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69D71-DC7A-4196-9145-156590A03989}">
  <dimension ref="A1:AN53"/>
  <sheetViews>
    <sheetView showGridLines="0" showRowColHeaders="0" tabSelected="1" zoomScale="60" zoomScaleNormal="60" workbookViewId="0">
      <selection activeCell="AL29" sqref="AL29"/>
    </sheetView>
  </sheetViews>
  <sheetFormatPr defaultRowHeight="14.4" x14ac:dyDescent="0.55000000000000004"/>
  <cols>
    <col min="1" max="9" width="8.83984375" style="10"/>
    <col min="10" max="10" width="8.83984375" style="10" customWidth="1"/>
    <col min="11" max="25" width="8.83984375" style="10"/>
    <col min="26" max="26" width="19.15625" style="10" bestFit="1" customWidth="1"/>
    <col min="27" max="16384" width="8.83984375" style="10"/>
  </cols>
  <sheetData>
    <row r="1" spans="1:26" ht="18.3" customHeight="1" x14ac:dyDescent="0.55000000000000004">
      <c r="A1" s="21" t="s">
        <v>1682</v>
      </c>
      <c r="B1" s="21"/>
      <c r="C1" s="21"/>
      <c r="D1" s="21"/>
      <c r="E1" s="21"/>
      <c r="F1" s="21"/>
      <c r="G1" s="21"/>
      <c r="H1" s="21"/>
      <c r="I1" s="21"/>
      <c r="J1" s="21"/>
      <c r="K1" s="21"/>
      <c r="L1" s="21"/>
      <c r="M1" s="21"/>
      <c r="N1" s="21"/>
      <c r="O1" s="21"/>
      <c r="P1" s="21"/>
      <c r="Q1" s="21"/>
      <c r="R1" s="21"/>
      <c r="S1" s="21"/>
      <c r="T1" s="21"/>
      <c r="U1" s="21"/>
      <c r="V1" s="21"/>
      <c r="W1" s="21"/>
      <c r="X1" s="21"/>
      <c r="Z1" s="18">
        <f>SUM(SalesData!L:L)</f>
        <v>195474608.66000003</v>
      </c>
    </row>
    <row r="2" spans="1:26" ht="14.4" customHeight="1" x14ac:dyDescent="0.55000000000000004">
      <c r="A2" s="21"/>
      <c r="B2" s="21"/>
      <c r="C2" s="21"/>
      <c r="D2" s="21"/>
      <c r="E2" s="21"/>
      <c r="F2" s="21"/>
      <c r="G2" s="21"/>
      <c r="H2" s="21"/>
      <c r="I2" s="21"/>
      <c r="J2" s="21"/>
      <c r="K2" s="21"/>
      <c r="L2" s="21"/>
      <c r="M2" s="21"/>
      <c r="N2" s="21"/>
      <c r="O2" s="21"/>
      <c r="P2" s="21"/>
      <c r="Q2" s="21"/>
      <c r="R2" s="21"/>
      <c r="S2" s="21"/>
      <c r="T2" s="21"/>
      <c r="U2" s="21"/>
      <c r="V2" s="21"/>
      <c r="W2" s="21"/>
      <c r="X2" s="21"/>
      <c r="Z2" s="16">
        <f>COUNTA(SalesData!A:A)</f>
        <v>1632</v>
      </c>
    </row>
    <row r="3" spans="1:26" ht="14.4" customHeight="1" x14ac:dyDescent="0.55000000000000004">
      <c r="A3" s="21"/>
      <c r="B3" s="21"/>
      <c r="C3" s="21"/>
      <c r="D3" s="21"/>
      <c r="E3" s="21"/>
      <c r="F3" s="21"/>
      <c r="G3" s="21"/>
      <c r="H3" s="21"/>
      <c r="I3" s="21"/>
      <c r="J3" s="21"/>
      <c r="K3" s="21"/>
      <c r="L3" s="21"/>
      <c r="M3" s="21"/>
      <c r="N3" s="21"/>
      <c r="O3" s="21"/>
      <c r="P3" s="21"/>
      <c r="Q3" s="21"/>
      <c r="R3" s="21"/>
      <c r="S3" s="21"/>
      <c r="T3" s="21"/>
      <c r="U3" s="21"/>
      <c r="V3" s="21"/>
      <c r="W3" s="21"/>
      <c r="X3" s="21"/>
      <c r="Z3" s="17">
        <f>Z1/Z2</f>
        <v>119776.10824754904</v>
      </c>
    </row>
    <row r="4" spans="1:26" ht="14.4" customHeight="1" x14ac:dyDescent="0.55000000000000004">
      <c r="A4" s="21"/>
      <c r="B4" s="21"/>
      <c r="C4" s="21"/>
      <c r="D4" s="21"/>
      <c r="E4" s="21"/>
      <c r="F4" s="21"/>
      <c r="G4" s="21"/>
      <c r="H4" s="21"/>
      <c r="I4" s="21"/>
      <c r="J4" s="21"/>
      <c r="K4" s="21"/>
      <c r="L4" s="21"/>
      <c r="M4" s="21"/>
      <c r="N4" s="21"/>
      <c r="O4" s="21"/>
      <c r="P4" s="21"/>
      <c r="Q4" s="21"/>
      <c r="R4" s="21"/>
      <c r="S4" s="21"/>
      <c r="T4" s="21"/>
      <c r="U4" s="21"/>
      <c r="V4" s="21"/>
      <c r="W4" s="21"/>
      <c r="X4" s="21"/>
    </row>
    <row r="5" spans="1:26" x14ac:dyDescent="0.55000000000000004">
      <c r="Z5" s="11"/>
    </row>
    <row r="14" spans="1:26" x14ac:dyDescent="0.55000000000000004">
      <c r="H14" s="19" t="s">
        <v>1683</v>
      </c>
      <c r="I14" s="20"/>
      <c r="J14" s="20"/>
      <c r="K14" s="20"/>
      <c r="L14" s="20"/>
      <c r="M14" s="20"/>
      <c r="N14" s="20"/>
      <c r="O14" s="20"/>
    </row>
    <row r="15" spans="1:26" x14ac:dyDescent="0.55000000000000004">
      <c r="H15" s="20"/>
      <c r="I15" s="20"/>
      <c r="J15" s="20"/>
      <c r="K15" s="20"/>
      <c r="L15" s="20"/>
      <c r="M15" s="20"/>
      <c r="N15" s="20"/>
      <c r="O15" s="20"/>
    </row>
    <row r="16" spans="1:26" x14ac:dyDescent="0.55000000000000004">
      <c r="H16" s="20"/>
      <c r="I16" s="20"/>
      <c r="J16" s="20"/>
      <c r="K16" s="20"/>
      <c r="L16" s="20"/>
      <c r="M16" s="20"/>
      <c r="N16" s="20"/>
      <c r="O16" s="20"/>
    </row>
    <row r="25" spans="27:40" ht="25.8" x14ac:dyDescent="0.95">
      <c r="AA25" s="22"/>
      <c r="AB25" s="22"/>
      <c r="AC25" s="22"/>
      <c r="AD25" s="22"/>
      <c r="AE25" s="22"/>
      <c r="AF25" s="22"/>
      <c r="AG25" s="22"/>
      <c r="AH25" s="22"/>
      <c r="AI25" s="22"/>
      <c r="AJ25" s="22"/>
      <c r="AK25" s="22"/>
      <c r="AL25" s="22"/>
      <c r="AM25" s="22"/>
    </row>
    <row r="27" spans="27:40" ht="18.3" x14ac:dyDescent="0.7">
      <c r="AA27" s="24"/>
      <c r="AB27" s="27" t="s">
        <v>1689</v>
      </c>
      <c r="AC27" s="26"/>
      <c r="AD27" s="26"/>
      <c r="AE27" s="26"/>
      <c r="AF27" s="26"/>
      <c r="AG27" s="26"/>
      <c r="AH27" s="26"/>
      <c r="AI27" s="26"/>
      <c r="AJ27" s="24"/>
      <c r="AK27" s="23"/>
      <c r="AL27" s="23"/>
      <c r="AM27" s="23"/>
      <c r="AN27" s="23"/>
    </row>
    <row r="28" spans="27:40" ht="15.6" x14ac:dyDescent="0.6">
      <c r="AA28" s="24"/>
      <c r="AB28" s="24"/>
      <c r="AC28" s="24"/>
      <c r="AD28" s="24"/>
      <c r="AE28" s="24"/>
      <c r="AF28" s="24"/>
      <c r="AG28" s="24"/>
      <c r="AH28" s="24"/>
      <c r="AI28" s="24"/>
      <c r="AJ28" s="24"/>
      <c r="AK28" s="23"/>
      <c r="AL28" s="23"/>
      <c r="AM28" s="23"/>
      <c r="AN28" s="23"/>
    </row>
    <row r="29" spans="27:40" ht="15.6" x14ac:dyDescent="0.6">
      <c r="AA29" s="24"/>
      <c r="AB29" s="24" t="s">
        <v>1685</v>
      </c>
      <c r="AC29" s="24"/>
      <c r="AD29" s="24"/>
      <c r="AE29" s="24"/>
      <c r="AF29" s="24"/>
      <c r="AG29" s="24"/>
      <c r="AH29" s="24"/>
      <c r="AI29" s="24"/>
      <c r="AJ29" s="24"/>
      <c r="AK29" s="23"/>
      <c r="AL29" s="23"/>
      <c r="AM29" s="23"/>
      <c r="AN29" s="23"/>
    </row>
    <row r="30" spans="27:40" ht="15.6" x14ac:dyDescent="0.6">
      <c r="AA30" s="24"/>
      <c r="AB30" s="24"/>
      <c r="AC30" s="24"/>
      <c r="AD30" s="24"/>
      <c r="AE30" s="24"/>
      <c r="AF30" s="24"/>
      <c r="AG30" s="24"/>
      <c r="AH30" s="24"/>
      <c r="AI30" s="24"/>
      <c r="AJ30" s="24"/>
      <c r="AK30" s="23"/>
      <c r="AL30" s="23"/>
      <c r="AM30" s="23"/>
      <c r="AN30" s="23"/>
    </row>
    <row r="31" spans="27:40" ht="15.6" x14ac:dyDescent="0.6">
      <c r="AA31" s="24"/>
      <c r="AB31" s="24" t="s">
        <v>1686</v>
      </c>
      <c r="AC31" s="24"/>
      <c r="AD31" s="24"/>
      <c r="AE31" s="24"/>
      <c r="AF31" s="24"/>
      <c r="AG31" s="24"/>
      <c r="AH31" s="24"/>
      <c r="AI31" s="24"/>
      <c r="AJ31" s="24"/>
      <c r="AK31" s="23"/>
      <c r="AL31" s="23"/>
      <c r="AM31" s="23"/>
      <c r="AN31" s="23"/>
    </row>
    <row r="32" spans="27:40" ht="15.6" x14ac:dyDescent="0.6">
      <c r="AA32" s="24"/>
      <c r="AB32" s="24"/>
      <c r="AC32" s="24"/>
      <c r="AD32" s="24"/>
      <c r="AE32" s="24"/>
      <c r="AF32" s="24"/>
      <c r="AG32" s="24"/>
      <c r="AH32" s="24"/>
      <c r="AI32" s="24"/>
      <c r="AJ32" s="24"/>
      <c r="AK32" s="23"/>
      <c r="AL32" s="23"/>
      <c r="AM32" s="23"/>
      <c r="AN32" s="23"/>
    </row>
    <row r="33" spans="7:40" ht="15.6" x14ac:dyDescent="0.6">
      <c r="AA33" s="24"/>
      <c r="AB33" s="24" t="s">
        <v>1687</v>
      </c>
      <c r="AC33" s="24"/>
      <c r="AD33" s="24"/>
      <c r="AE33" s="24"/>
      <c r="AF33" s="24"/>
      <c r="AG33" s="24"/>
      <c r="AH33" s="24"/>
      <c r="AI33" s="24"/>
      <c r="AJ33" s="24"/>
      <c r="AK33" s="23"/>
      <c r="AL33" s="23"/>
      <c r="AM33" s="23"/>
      <c r="AN33" s="23"/>
    </row>
    <row r="34" spans="7:40" ht="14.4" customHeight="1" x14ac:dyDescent="0.55000000000000004">
      <c r="AA34" s="25"/>
      <c r="AB34" s="25"/>
      <c r="AC34" s="25"/>
      <c r="AD34" s="25"/>
      <c r="AE34" s="25"/>
      <c r="AF34" s="25"/>
      <c r="AG34" s="25"/>
      <c r="AH34" s="25"/>
      <c r="AI34" s="25"/>
      <c r="AJ34" s="25"/>
    </row>
    <row r="35" spans="7:40" ht="14.4" customHeight="1" x14ac:dyDescent="0.55000000000000004">
      <c r="G35" s="15" t="s">
        <v>1684</v>
      </c>
      <c r="H35" s="14"/>
      <c r="I35" s="14"/>
      <c r="J35" s="14"/>
      <c r="K35" s="14"/>
      <c r="L35" s="14"/>
      <c r="M35" s="14"/>
      <c r="N35" s="14"/>
      <c r="O35" s="14"/>
      <c r="P35" s="14"/>
      <c r="Q35" s="14"/>
      <c r="R35" s="14"/>
      <c r="S35" s="14"/>
      <c r="T35" s="14"/>
      <c r="U35" s="14"/>
      <c r="AA35" s="25"/>
      <c r="AB35" s="25" t="s">
        <v>1688</v>
      </c>
      <c r="AC35" s="25"/>
      <c r="AD35" s="25"/>
      <c r="AE35" s="25"/>
      <c r="AF35" s="25"/>
      <c r="AG35" s="25"/>
      <c r="AH35" s="25"/>
      <c r="AI35" s="25"/>
      <c r="AJ35" s="25"/>
    </row>
    <row r="36" spans="7:40" ht="14.4" customHeight="1" x14ac:dyDescent="0.55000000000000004">
      <c r="G36" s="14"/>
      <c r="H36" s="14"/>
      <c r="I36" s="14"/>
      <c r="J36" s="14"/>
      <c r="K36" s="14"/>
      <c r="L36" s="14"/>
      <c r="M36" s="14"/>
      <c r="N36" s="14"/>
      <c r="O36" s="14"/>
      <c r="P36" s="14"/>
      <c r="Q36" s="14"/>
      <c r="R36" s="14"/>
      <c r="S36" s="14"/>
      <c r="T36" s="14"/>
      <c r="U36" s="14"/>
      <c r="AA36" s="25"/>
      <c r="AB36" s="25"/>
      <c r="AC36" s="25"/>
      <c r="AD36" s="25"/>
      <c r="AE36" s="25"/>
      <c r="AF36" s="25"/>
      <c r="AG36" s="25"/>
      <c r="AH36" s="25"/>
      <c r="AI36" s="25"/>
      <c r="AJ36" s="25"/>
    </row>
    <row r="37" spans="7:40" x14ac:dyDescent="0.55000000000000004">
      <c r="G37" s="14"/>
      <c r="H37" s="14"/>
      <c r="I37" s="14"/>
      <c r="J37" s="14"/>
      <c r="K37" s="14"/>
      <c r="L37" s="14"/>
      <c r="M37" s="14"/>
      <c r="N37" s="14"/>
      <c r="O37" s="14"/>
      <c r="P37" s="14"/>
      <c r="Q37" s="14"/>
      <c r="R37" s="14"/>
      <c r="S37" s="14"/>
      <c r="T37" s="14"/>
      <c r="U37" s="14"/>
    </row>
    <row r="38" spans="7:40" x14ac:dyDescent="0.55000000000000004">
      <c r="G38" s="14"/>
      <c r="H38" s="14"/>
      <c r="I38" s="14"/>
      <c r="J38" s="14"/>
      <c r="K38" s="14"/>
      <c r="L38" s="14"/>
      <c r="M38" s="14"/>
      <c r="N38" s="14"/>
      <c r="O38" s="14"/>
      <c r="P38" s="14"/>
      <c r="Q38" s="14"/>
      <c r="R38" s="14"/>
      <c r="S38" s="14"/>
      <c r="T38" s="14"/>
      <c r="U38" s="14"/>
    </row>
    <row r="50" spans="11:18" ht="14.4" customHeight="1" x14ac:dyDescent="0.55000000000000004">
      <c r="K50" s="12"/>
      <c r="L50" s="13"/>
      <c r="M50" s="13"/>
      <c r="N50" s="13"/>
      <c r="O50" s="13"/>
      <c r="P50" s="13"/>
      <c r="Q50" s="13"/>
      <c r="R50" s="13"/>
    </row>
    <row r="51" spans="11:18" x14ac:dyDescent="0.55000000000000004">
      <c r="K51" s="13"/>
      <c r="L51" s="13"/>
      <c r="M51" s="13"/>
      <c r="N51" s="13"/>
      <c r="O51" s="13"/>
      <c r="P51" s="13"/>
      <c r="Q51" s="13"/>
      <c r="R51" s="13"/>
    </row>
    <row r="52" spans="11:18" x14ac:dyDescent="0.55000000000000004">
      <c r="K52" s="13"/>
      <c r="L52" s="13"/>
      <c r="M52" s="13"/>
      <c r="N52" s="13"/>
      <c r="O52" s="13"/>
      <c r="P52" s="13"/>
      <c r="Q52" s="13"/>
      <c r="R52" s="13"/>
    </row>
    <row r="53" spans="11:18" x14ac:dyDescent="0.55000000000000004">
      <c r="K53" s="13"/>
      <c r="L53" s="13"/>
      <c r="M53" s="13"/>
      <c r="N53" s="13"/>
      <c r="O53" s="13"/>
      <c r="P53" s="13"/>
      <c r="Q53" s="13"/>
      <c r="R53" s="13"/>
    </row>
  </sheetData>
  <mergeCells count="4">
    <mergeCell ref="AB27:AI27"/>
    <mergeCell ref="A1:X4"/>
    <mergeCell ref="H14:O16"/>
    <mergeCell ref="G35:U3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32"/>
  <sheetViews>
    <sheetView workbookViewId="0">
      <selection activeCell="P22" sqref="P22"/>
    </sheetView>
  </sheetViews>
  <sheetFormatPr defaultRowHeight="14.4" x14ac:dyDescent="0.55000000000000004"/>
  <cols>
    <col min="1" max="1" width="9" customWidth="1"/>
    <col min="2" max="2" width="10.15625" style="1" bestFit="1" customWidth="1"/>
    <col min="3" max="3" width="8.15625" customWidth="1"/>
    <col min="4" max="4" width="11.7890625" bestFit="1" customWidth="1"/>
    <col min="5" max="5" width="10.20703125" bestFit="1" customWidth="1"/>
    <col min="6" max="6" width="10.7890625" bestFit="1" customWidth="1"/>
    <col min="7" max="7" width="7" bestFit="1" customWidth="1"/>
    <col min="8" max="8" width="10.05078125" bestFit="1" customWidth="1"/>
    <col min="9" max="9" width="10" bestFit="1" customWidth="1"/>
    <col min="10" max="10" width="14.578125" customWidth="1"/>
    <col min="11" max="11" width="11.5234375" bestFit="1" customWidth="1"/>
    <col min="12" max="12" width="13.41796875" bestFit="1" customWidth="1"/>
    <col min="14" max="14" width="11.68359375" bestFit="1" customWidth="1"/>
  </cols>
  <sheetData>
    <row r="1" spans="1:12" x14ac:dyDescent="0.55000000000000004">
      <c r="A1" t="s">
        <v>0</v>
      </c>
      <c r="B1" s="1" t="s">
        <v>1</v>
      </c>
      <c r="C1" t="s">
        <v>2</v>
      </c>
      <c r="D1" t="s">
        <v>3</v>
      </c>
      <c r="E1" t="s">
        <v>4</v>
      </c>
      <c r="F1" t="s">
        <v>5</v>
      </c>
      <c r="G1" t="s">
        <v>6</v>
      </c>
      <c r="H1" t="s">
        <v>7</v>
      </c>
      <c r="I1" t="s">
        <v>8</v>
      </c>
      <c r="J1" t="s">
        <v>9</v>
      </c>
      <c r="K1" t="s">
        <v>1662</v>
      </c>
      <c r="L1" t="s">
        <v>1663</v>
      </c>
    </row>
    <row r="2" spans="1:12" x14ac:dyDescent="0.55000000000000004">
      <c r="A2" t="s">
        <v>10</v>
      </c>
      <c r="B2" s="2">
        <v>45083</v>
      </c>
      <c r="C2" t="s">
        <v>19</v>
      </c>
      <c r="D2" t="s">
        <v>20</v>
      </c>
      <c r="E2" t="s">
        <v>11</v>
      </c>
      <c r="F2" t="s">
        <v>12</v>
      </c>
      <c r="G2">
        <v>2758</v>
      </c>
      <c r="H2">
        <v>2</v>
      </c>
      <c r="I2">
        <v>19</v>
      </c>
      <c r="J2" t="s">
        <v>13</v>
      </c>
      <c r="K2" s="4">
        <f>Table1[[#This Row],[Sales]]*Table1[[#This Row],[Quantity]]</f>
        <v>5516</v>
      </c>
      <c r="L2" s="4">
        <f>Table1[[#This Row],[Revenue]]-(Table1[[#This Row],[Revenue]]*Table1[[#This Row],[Discount]]/100)</f>
        <v>4467.96</v>
      </c>
    </row>
    <row r="3" spans="1:12" x14ac:dyDescent="0.55000000000000004">
      <c r="A3" t="s">
        <v>14</v>
      </c>
      <c r="B3" s="2">
        <v>45115</v>
      </c>
      <c r="C3" t="s">
        <v>15</v>
      </c>
      <c r="D3" t="s">
        <v>16</v>
      </c>
      <c r="E3" t="s">
        <v>17</v>
      </c>
      <c r="F3" t="s">
        <v>12</v>
      </c>
      <c r="G3">
        <v>38520</v>
      </c>
      <c r="H3">
        <v>5</v>
      </c>
      <c r="I3">
        <v>12</v>
      </c>
      <c r="J3" t="s">
        <v>13</v>
      </c>
      <c r="K3" s="4">
        <f>Table1[[#This Row],[Sales]]*Table1[[#This Row],[Quantity]]</f>
        <v>192600</v>
      </c>
      <c r="L3" s="4">
        <f>Table1[[#This Row],[Revenue]]-(Table1[[#This Row],[Revenue]]*Table1[[#This Row],[Discount]]/100)</f>
        <v>169488</v>
      </c>
    </row>
    <row r="4" spans="1:12" x14ac:dyDescent="0.55000000000000004">
      <c r="A4" t="s">
        <v>18</v>
      </c>
      <c r="B4" s="2">
        <v>45135</v>
      </c>
      <c r="C4" t="s">
        <v>19</v>
      </c>
      <c r="D4" t="s">
        <v>20</v>
      </c>
      <c r="E4" t="s">
        <v>11</v>
      </c>
      <c r="F4" t="s">
        <v>21</v>
      </c>
      <c r="G4">
        <v>36551</v>
      </c>
      <c r="H4">
        <v>3</v>
      </c>
      <c r="I4">
        <v>24</v>
      </c>
      <c r="J4" t="s">
        <v>22</v>
      </c>
      <c r="K4" s="4">
        <f>Table1[[#This Row],[Sales]]*Table1[[#This Row],[Quantity]]</f>
        <v>109653</v>
      </c>
      <c r="L4" s="4">
        <f>Table1[[#This Row],[Revenue]]-(Table1[[#This Row],[Revenue]]*Table1[[#This Row],[Discount]]/100)</f>
        <v>83336.28</v>
      </c>
    </row>
    <row r="5" spans="1:12" x14ac:dyDescent="0.55000000000000004">
      <c r="A5" t="s">
        <v>23</v>
      </c>
      <c r="B5" s="2">
        <v>45187</v>
      </c>
      <c r="C5" t="s">
        <v>24</v>
      </c>
      <c r="D5" t="s">
        <v>20</v>
      </c>
      <c r="E5" t="s">
        <v>17</v>
      </c>
      <c r="F5" t="s">
        <v>12</v>
      </c>
      <c r="G5">
        <v>47910</v>
      </c>
      <c r="H5">
        <v>7</v>
      </c>
      <c r="I5">
        <v>25</v>
      </c>
      <c r="J5" t="s">
        <v>25</v>
      </c>
      <c r="K5" s="4">
        <f>Table1[[#This Row],[Sales]]*Table1[[#This Row],[Quantity]]</f>
        <v>335370</v>
      </c>
      <c r="L5" s="4">
        <f>Table1[[#This Row],[Revenue]]-(Table1[[#This Row],[Revenue]]*Table1[[#This Row],[Discount]]/100)</f>
        <v>251527.5</v>
      </c>
    </row>
    <row r="6" spans="1:12" x14ac:dyDescent="0.55000000000000004">
      <c r="A6" t="s">
        <v>26</v>
      </c>
      <c r="B6" s="2">
        <v>45124</v>
      </c>
      <c r="C6" t="s">
        <v>24</v>
      </c>
      <c r="D6" t="s">
        <v>27</v>
      </c>
      <c r="E6" t="s">
        <v>17</v>
      </c>
      <c r="F6" t="s">
        <v>21</v>
      </c>
      <c r="G6">
        <v>39219</v>
      </c>
      <c r="H6">
        <v>6</v>
      </c>
      <c r="I6">
        <v>4</v>
      </c>
      <c r="J6" t="s">
        <v>22</v>
      </c>
      <c r="K6" s="4">
        <f>Table1[[#This Row],[Sales]]*Table1[[#This Row],[Quantity]]</f>
        <v>235314</v>
      </c>
      <c r="L6" s="4">
        <f>Table1[[#This Row],[Revenue]]-(Table1[[#This Row],[Revenue]]*Table1[[#This Row],[Discount]]/100)</f>
        <v>225901.44</v>
      </c>
    </row>
    <row r="7" spans="1:12" x14ac:dyDescent="0.55000000000000004">
      <c r="A7" t="s">
        <v>28</v>
      </c>
      <c r="B7" s="2">
        <v>44951</v>
      </c>
      <c r="C7" t="s">
        <v>24</v>
      </c>
      <c r="D7" t="s">
        <v>20</v>
      </c>
      <c r="E7" t="s">
        <v>11</v>
      </c>
      <c r="F7" t="s">
        <v>29</v>
      </c>
      <c r="G7">
        <v>34626</v>
      </c>
      <c r="H7">
        <v>6</v>
      </c>
      <c r="I7">
        <v>22</v>
      </c>
      <c r="J7" t="s">
        <v>25</v>
      </c>
      <c r="K7" s="4">
        <f>Table1[[#This Row],[Sales]]*Table1[[#This Row],[Quantity]]</f>
        <v>207756</v>
      </c>
      <c r="L7" s="4">
        <f>Table1[[#This Row],[Revenue]]-(Table1[[#This Row],[Revenue]]*Table1[[#This Row],[Discount]]/100)</f>
        <v>162049.68</v>
      </c>
    </row>
    <row r="8" spans="1:12" x14ac:dyDescent="0.55000000000000004">
      <c r="A8" t="s">
        <v>30</v>
      </c>
      <c r="B8" s="2">
        <v>45282</v>
      </c>
      <c r="C8" t="s">
        <v>31</v>
      </c>
      <c r="D8" t="s">
        <v>20</v>
      </c>
      <c r="E8" t="s">
        <v>17</v>
      </c>
      <c r="F8" t="s">
        <v>21</v>
      </c>
      <c r="G8">
        <v>25986</v>
      </c>
      <c r="H8">
        <v>7</v>
      </c>
      <c r="I8">
        <v>7</v>
      </c>
      <c r="J8" t="s">
        <v>25</v>
      </c>
      <c r="K8" s="4">
        <f>Table1[[#This Row],[Sales]]*Table1[[#This Row],[Quantity]]</f>
        <v>181902</v>
      </c>
      <c r="L8" s="4">
        <f>Table1[[#This Row],[Revenue]]-(Table1[[#This Row],[Revenue]]*Table1[[#This Row],[Discount]]/100)</f>
        <v>169168.86</v>
      </c>
    </row>
    <row r="9" spans="1:12" x14ac:dyDescent="0.55000000000000004">
      <c r="A9" t="s">
        <v>32</v>
      </c>
      <c r="B9" s="2">
        <v>45205</v>
      </c>
      <c r="C9" t="s">
        <v>31</v>
      </c>
      <c r="D9" t="s">
        <v>46</v>
      </c>
      <c r="E9" t="s">
        <v>17</v>
      </c>
      <c r="F9" t="s">
        <v>21</v>
      </c>
      <c r="G9">
        <v>14395</v>
      </c>
      <c r="H9">
        <v>1</v>
      </c>
      <c r="I9">
        <v>29</v>
      </c>
      <c r="J9" t="s">
        <v>13</v>
      </c>
      <c r="K9" s="4">
        <f>Table1[[#This Row],[Sales]]*Table1[[#This Row],[Quantity]]</f>
        <v>14395</v>
      </c>
      <c r="L9" s="4">
        <f>Table1[[#This Row],[Revenue]]-(Table1[[#This Row],[Revenue]]*Table1[[#This Row],[Discount]]/100)</f>
        <v>10220.450000000001</v>
      </c>
    </row>
    <row r="10" spans="1:12" x14ac:dyDescent="0.55000000000000004">
      <c r="A10" t="s">
        <v>33</v>
      </c>
      <c r="B10" s="2">
        <v>45206</v>
      </c>
      <c r="C10" t="s">
        <v>24</v>
      </c>
      <c r="D10" t="s">
        <v>20</v>
      </c>
      <c r="E10" t="s">
        <v>11</v>
      </c>
      <c r="F10" t="s">
        <v>34</v>
      </c>
      <c r="G10">
        <v>39435</v>
      </c>
      <c r="H10">
        <v>3</v>
      </c>
      <c r="I10">
        <v>14</v>
      </c>
      <c r="J10" t="s">
        <v>22</v>
      </c>
      <c r="K10" s="4">
        <f>Table1[[#This Row],[Sales]]*Table1[[#This Row],[Quantity]]</f>
        <v>118305</v>
      </c>
      <c r="L10" s="4">
        <f>Table1[[#This Row],[Revenue]]-(Table1[[#This Row],[Revenue]]*Table1[[#This Row],[Discount]]/100)</f>
        <v>101742.3</v>
      </c>
    </row>
    <row r="11" spans="1:12" x14ac:dyDescent="0.55000000000000004">
      <c r="A11" t="s">
        <v>35</v>
      </c>
      <c r="B11" s="2">
        <v>45136</v>
      </c>
      <c r="C11" t="s">
        <v>19</v>
      </c>
      <c r="D11" t="s">
        <v>20</v>
      </c>
      <c r="E11" t="s">
        <v>17</v>
      </c>
      <c r="F11" t="s">
        <v>29</v>
      </c>
      <c r="G11">
        <v>22252</v>
      </c>
      <c r="H11">
        <v>8</v>
      </c>
      <c r="I11">
        <v>23</v>
      </c>
      <c r="J11" t="s">
        <v>13</v>
      </c>
      <c r="K11" s="4">
        <f>Table1[[#This Row],[Sales]]*Table1[[#This Row],[Quantity]]</f>
        <v>178016</v>
      </c>
      <c r="L11" s="4">
        <f>Table1[[#This Row],[Revenue]]-(Table1[[#This Row],[Revenue]]*Table1[[#This Row],[Discount]]/100)</f>
        <v>137072.32000000001</v>
      </c>
    </row>
    <row r="12" spans="1:12" x14ac:dyDescent="0.55000000000000004">
      <c r="A12" t="s">
        <v>36</v>
      </c>
      <c r="B12" s="2">
        <v>44987</v>
      </c>
      <c r="C12" t="s">
        <v>15</v>
      </c>
      <c r="D12" t="s">
        <v>37</v>
      </c>
      <c r="E12" t="s">
        <v>17</v>
      </c>
      <c r="F12" t="s">
        <v>38</v>
      </c>
      <c r="G12">
        <v>14481</v>
      </c>
      <c r="H12">
        <v>9</v>
      </c>
      <c r="I12">
        <v>16</v>
      </c>
      <c r="J12" t="s">
        <v>25</v>
      </c>
      <c r="K12" s="4">
        <f>Table1[[#This Row],[Sales]]*Table1[[#This Row],[Quantity]]</f>
        <v>130329</v>
      </c>
      <c r="L12" s="4">
        <f>Table1[[#This Row],[Revenue]]-(Table1[[#This Row],[Revenue]]*Table1[[#This Row],[Discount]]/100)</f>
        <v>109476.36</v>
      </c>
    </row>
    <row r="13" spans="1:12" x14ac:dyDescent="0.55000000000000004">
      <c r="A13" t="s">
        <v>39</v>
      </c>
      <c r="B13" s="2">
        <v>44975</v>
      </c>
      <c r="C13" t="s">
        <v>24</v>
      </c>
      <c r="D13" t="s">
        <v>46</v>
      </c>
      <c r="E13" t="s">
        <v>11</v>
      </c>
      <c r="F13" t="s">
        <v>34</v>
      </c>
      <c r="G13">
        <v>10274</v>
      </c>
      <c r="H13">
        <v>4</v>
      </c>
      <c r="I13">
        <v>1</v>
      </c>
      <c r="J13" t="s">
        <v>13</v>
      </c>
      <c r="K13" s="4">
        <f>Table1[[#This Row],[Sales]]*Table1[[#This Row],[Quantity]]</f>
        <v>41096</v>
      </c>
      <c r="L13" s="4">
        <f>Table1[[#This Row],[Revenue]]-(Table1[[#This Row],[Revenue]]*Table1[[#This Row],[Discount]]/100)</f>
        <v>40685.040000000001</v>
      </c>
    </row>
    <row r="14" spans="1:12" x14ac:dyDescent="0.55000000000000004">
      <c r="A14" t="s">
        <v>40</v>
      </c>
      <c r="B14" s="2">
        <v>45087</v>
      </c>
      <c r="C14" t="s">
        <v>15</v>
      </c>
      <c r="D14" t="s">
        <v>16</v>
      </c>
      <c r="E14" t="s">
        <v>17</v>
      </c>
      <c r="F14" t="s">
        <v>34</v>
      </c>
      <c r="G14">
        <v>47680</v>
      </c>
      <c r="H14">
        <v>1</v>
      </c>
      <c r="I14">
        <v>20</v>
      </c>
      <c r="J14" t="s">
        <v>25</v>
      </c>
      <c r="K14" s="4">
        <f>Table1[[#This Row],[Sales]]*Table1[[#This Row],[Quantity]]</f>
        <v>47680</v>
      </c>
      <c r="L14" s="4">
        <f>Table1[[#This Row],[Revenue]]-(Table1[[#This Row],[Revenue]]*Table1[[#This Row],[Discount]]/100)</f>
        <v>38144</v>
      </c>
    </row>
    <row r="15" spans="1:12" x14ac:dyDescent="0.55000000000000004">
      <c r="A15" t="s">
        <v>41</v>
      </c>
      <c r="B15" s="2">
        <v>45224</v>
      </c>
      <c r="C15" t="s">
        <v>15</v>
      </c>
      <c r="D15" t="s">
        <v>16</v>
      </c>
      <c r="E15" t="s">
        <v>11</v>
      </c>
      <c r="F15" t="s">
        <v>21</v>
      </c>
      <c r="G15">
        <v>6296</v>
      </c>
      <c r="H15">
        <v>8</v>
      </c>
      <c r="I15">
        <v>29</v>
      </c>
      <c r="J15" t="s">
        <v>25</v>
      </c>
      <c r="K15" s="4">
        <f>Table1[[#This Row],[Sales]]*Table1[[#This Row],[Quantity]]</f>
        <v>50368</v>
      </c>
      <c r="L15" s="4">
        <f>Table1[[#This Row],[Revenue]]-(Table1[[#This Row],[Revenue]]*Table1[[#This Row],[Discount]]/100)</f>
        <v>35761.279999999999</v>
      </c>
    </row>
    <row r="16" spans="1:12" x14ac:dyDescent="0.55000000000000004">
      <c r="A16" t="s">
        <v>42</v>
      </c>
      <c r="B16" s="2">
        <v>45231</v>
      </c>
      <c r="C16" t="s">
        <v>19</v>
      </c>
      <c r="D16" t="s">
        <v>27</v>
      </c>
      <c r="E16" t="s">
        <v>17</v>
      </c>
      <c r="F16" t="s">
        <v>29</v>
      </c>
      <c r="G16">
        <v>2299</v>
      </c>
      <c r="H16">
        <v>7</v>
      </c>
      <c r="I16">
        <v>13</v>
      </c>
      <c r="J16" t="s">
        <v>13</v>
      </c>
      <c r="K16" s="4">
        <f>Table1[[#This Row],[Sales]]*Table1[[#This Row],[Quantity]]</f>
        <v>16093</v>
      </c>
      <c r="L16" s="4">
        <f>Table1[[#This Row],[Revenue]]-(Table1[[#This Row],[Revenue]]*Table1[[#This Row],[Discount]]/100)</f>
        <v>14000.91</v>
      </c>
    </row>
    <row r="17" spans="1:12" x14ac:dyDescent="0.55000000000000004">
      <c r="A17" t="s">
        <v>43</v>
      </c>
      <c r="B17" s="2">
        <v>45194</v>
      </c>
      <c r="C17" t="s">
        <v>19</v>
      </c>
      <c r="D17" t="s">
        <v>27</v>
      </c>
      <c r="E17" t="s">
        <v>17</v>
      </c>
      <c r="F17" t="s">
        <v>29</v>
      </c>
      <c r="G17">
        <v>11398</v>
      </c>
      <c r="H17">
        <v>6</v>
      </c>
      <c r="I17">
        <v>15</v>
      </c>
      <c r="J17" t="s">
        <v>25</v>
      </c>
      <c r="K17" s="4">
        <f>Table1[[#This Row],[Sales]]*Table1[[#This Row],[Quantity]]</f>
        <v>68388</v>
      </c>
      <c r="L17" s="4">
        <f>Table1[[#This Row],[Revenue]]-(Table1[[#This Row],[Revenue]]*Table1[[#This Row],[Discount]]/100)</f>
        <v>58129.8</v>
      </c>
    </row>
    <row r="18" spans="1:12" x14ac:dyDescent="0.55000000000000004">
      <c r="A18" t="s">
        <v>45</v>
      </c>
      <c r="B18" s="2">
        <v>45040</v>
      </c>
      <c r="C18" t="s">
        <v>19</v>
      </c>
      <c r="D18" t="s">
        <v>46</v>
      </c>
      <c r="E18" t="s">
        <v>17</v>
      </c>
      <c r="F18" t="s">
        <v>21</v>
      </c>
      <c r="G18">
        <v>38692</v>
      </c>
      <c r="H18">
        <v>8</v>
      </c>
      <c r="I18">
        <v>25</v>
      </c>
      <c r="J18" t="s">
        <v>22</v>
      </c>
      <c r="K18" s="4">
        <f>Table1[[#This Row],[Sales]]*Table1[[#This Row],[Quantity]]</f>
        <v>309536</v>
      </c>
      <c r="L18" s="4">
        <f>Table1[[#This Row],[Revenue]]-(Table1[[#This Row],[Revenue]]*Table1[[#This Row],[Discount]]/100)</f>
        <v>232152</v>
      </c>
    </row>
    <row r="19" spans="1:12" x14ac:dyDescent="0.55000000000000004">
      <c r="A19" t="s">
        <v>47</v>
      </c>
      <c r="B19" s="2">
        <v>45290</v>
      </c>
      <c r="C19" t="s">
        <v>31</v>
      </c>
      <c r="D19" t="s">
        <v>37</v>
      </c>
      <c r="E19" t="s">
        <v>17</v>
      </c>
      <c r="F19" t="s">
        <v>48</v>
      </c>
      <c r="G19">
        <v>9573</v>
      </c>
      <c r="H19">
        <v>6</v>
      </c>
      <c r="I19">
        <v>24</v>
      </c>
      <c r="J19" t="s">
        <v>22</v>
      </c>
      <c r="K19" s="4">
        <f>Table1[[#This Row],[Sales]]*Table1[[#This Row],[Quantity]]</f>
        <v>57438</v>
      </c>
      <c r="L19" s="4">
        <f>Table1[[#This Row],[Revenue]]-(Table1[[#This Row],[Revenue]]*Table1[[#This Row],[Discount]]/100)</f>
        <v>43652.88</v>
      </c>
    </row>
    <row r="20" spans="1:12" x14ac:dyDescent="0.55000000000000004">
      <c r="A20" t="s">
        <v>49</v>
      </c>
      <c r="B20" s="2">
        <v>45278</v>
      </c>
      <c r="C20" t="s">
        <v>19</v>
      </c>
      <c r="D20" t="s">
        <v>20</v>
      </c>
      <c r="E20" t="s">
        <v>17</v>
      </c>
      <c r="F20" t="s">
        <v>29</v>
      </c>
      <c r="G20">
        <v>47623</v>
      </c>
      <c r="H20">
        <v>7</v>
      </c>
      <c r="I20">
        <v>6</v>
      </c>
      <c r="J20" t="s">
        <v>22</v>
      </c>
      <c r="K20" s="4">
        <f>Table1[[#This Row],[Sales]]*Table1[[#This Row],[Quantity]]</f>
        <v>333361</v>
      </c>
      <c r="L20" s="4">
        <f>Table1[[#This Row],[Revenue]]-(Table1[[#This Row],[Revenue]]*Table1[[#This Row],[Discount]]/100)</f>
        <v>313359.34000000003</v>
      </c>
    </row>
    <row r="21" spans="1:12" x14ac:dyDescent="0.55000000000000004">
      <c r="A21" t="s">
        <v>50</v>
      </c>
      <c r="B21" s="2">
        <v>44963</v>
      </c>
      <c r="C21" t="s">
        <v>19</v>
      </c>
      <c r="D21" t="s">
        <v>27</v>
      </c>
      <c r="E21" t="s">
        <v>17</v>
      </c>
      <c r="F21" t="s">
        <v>34</v>
      </c>
      <c r="G21">
        <v>30847</v>
      </c>
      <c r="H21">
        <v>7</v>
      </c>
      <c r="I21">
        <v>7</v>
      </c>
      <c r="J21" t="s">
        <v>13</v>
      </c>
      <c r="K21" s="4">
        <f>Table1[[#This Row],[Sales]]*Table1[[#This Row],[Quantity]]</f>
        <v>215929</v>
      </c>
      <c r="L21" s="4">
        <f>Table1[[#This Row],[Revenue]]-(Table1[[#This Row],[Revenue]]*Table1[[#This Row],[Discount]]/100)</f>
        <v>200813.97</v>
      </c>
    </row>
    <row r="22" spans="1:12" x14ac:dyDescent="0.55000000000000004">
      <c r="A22" t="s">
        <v>51</v>
      </c>
      <c r="B22" s="2">
        <v>45037</v>
      </c>
      <c r="C22" t="s">
        <v>31</v>
      </c>
      <c r="D22" t="s">
        <v>46</v>
      </c>
      <c r="E22" t="s">
        <v>17</v>
      </c>
      <c r="F22" t="s">
        <v>34</v>
      </c>
      <c r="G22">
        <v>10707</v>
      </c>
      <c r="H22">
        <v>6</v>
      </c>
      <c r="I22">
        <v>1</v>
      </c>
      <c r="J22" t="s">
        <v>25</v>
      </c>
      <c r="K22" s="4">
        <f>Table1[[#This Row],[Sales]]*Table1[[#This Row],[Quantity]]</f>
        <v>64242</v>
      </c>
      <c r="L22" s="4">
        <f>Table1[[#This Row],[Revenue]]-(Table1[[#This Row],[Revenue]]*Table1[[#This Row],[Discount]]/100)</f>
        <v>63599.58</v>
      </c>
    </row>
    <row r="23" spans="1:12" x14ac:dyDescent="0.55000000000000004">
      <c r="A23" t="s">
        <v>52</v>
      </c>
      <c r="B23" s="2">
        <v>45255</v>
      </c>
      <c r="C23" t="s">
        <v>24</v>
      </c>
      <c r="D23" t="s">
        <v>37</v>
      </c>
      <c r="E23" t="s">
        <v>17</v>
      </c>
      <c r="F23" t="s">
        <v>44</v>
      </c>
      <c r="G23">
        <v>17733</v>
      </c>
      <c r="H23">
        <v>3</v>
      </c>
      <c r="I23">
        <v>4</v>
      </c>
      <c r="J23" t="s">
        <v>13</v>
      </c>
      <c r="K23" s="4">
        <f>Table1[[#This Row],[Sales]]*Table1[[#This Row],[Quantity]]</f>
        <v>53199</v>
      </c>
      <c r="L23" s="4">
        <f>Table1[[#This Row],[Revenue]]-(Table1[[#This Row],[Revenue]]*Table1[[#This Row],[Discount]]/100)</f>
        <v>51071.040000000001</v>
      </c>
    </row>
    <row r="24" spans="1:12" x14ac:dyDescent="0.55000000000000004">
      <c r="A24" t="s">
        <v>53</v>
      </c>
      <c r="B24" s="2">
        <v>45056</v>
      </c>
      <c r="C24" t="s">
        <v>31</v>
      </c>
      <c r="D24" t="s">
        <v>46</v>
      </c>
      <c r="E24" t="s">
        <v>17</v>
      </c>
      <c r="F24" t="s">
        <v>12</v>
      </c>
      <c r="G24">
        <v>888</v>
      </c>
      <c r="H24">
        <v>7</v>
      </c>
      <c r="I24">
        <v>17</v>
      </c>
      <c r="J24" t="s">
        <v>13</v>
      </c>
      <c r="K24" s="4">
        <f>Table1[[#This Row],[Sales]]*Table1[[#This Row],[Quantity]]</f>
        <v>6216</v>
      </c>
      <c r="L24" s="4">
        <f>Table1[[#This Row],[Revenue]]-(Table1[[#This Row],[Revenue]]*Table1[[#This Row],[Discount]]/100)</f>
        <v>5159.28</v>
      </c>
    </row>
    <row r="25" spans="1:12" x14ac:dyDescent="0.55000000000000004">
      <c r="A25" t="s">
        <v>54</v>
      </c>
      <c r="B25" s="2">
        <v>45226</v>
      </c>
      <c r="C25" t="s">
        <v>15</v>
      </c>
      <c r="D25" t="s">
        <v>37</v>
      </c>
      <c r="E25" t="s">
        <v>11</v>
      </c>
      <c r="F25" t="s">
        <v>21</v>
      </c>
      <c r="G25">
        <v>20542</v>
      </c>
      <c r="H25">
        <v>8</v>
      </c>
      <c r="I25">
        <v>22</v>
      </c>
      <c r="J25" t="s">
        <v>13</v>
      </c>
      <c r="K25" s="4">
        <f>Table1[[#This Row],[Sales]]*Table1[[#This Row],[Quantity]]</f>
        <v>164336</v>
      </c>
      <c r="L25" s="4">
        <f>Table1[[#This Row],[Revenue]]-(Table1[[#This Row],[Revenue]]*Table1[[#This Row],[Discount]]/100)</f>
        <v>128182.08</v>
      </c>
    </row>
    <row r="26" spans="1:12" x14ac:dyDescent="0.55000000000000004">
      <c r="A26" t="s">
        <v>55</v>
      </c>
      <c r="B26" s="2">
        <v>45107</v>
      </c>
      <c r="C26" t="s">
        <v>19</v>
      </c>
      <c r="D26" t="s">
        <v>20</v>
      </c>
      <c r="E26" t="s">
        <v>11</v>
      </c>
      <c r="F26" t="s">
        <v>29</v>
      </c>
      <c r="G26">
        <v>33214</v>
      </c>
      <c r="H26">
        <v>2</v>
      </c>
      <c r="I26">
        <v>18</v>
      </c>
      <c r="J26" t="s">
        <v>13</v>
      </c>
      <c r="K26" s="4">
        <f>Table1[[#This Row],[Sales]]*Table1[[#This Row],[Quantity]]</f>
        <v>66428</v>
      </c>
      <c r="L26" s="4">
        <f>Table1[[#This Row],[Revenue]]-(Table1[[#This Row],[Revenue]]*Table1[[#This Row],[Discount]]/100)</f>
        <v>54470.96</v>
      </c>
    </row>
    <row r="27" spans="1:12" x14ac:dyDescent="0.55000000000000004">
      <c r="A27" t="s">
        <v>56</v>
      </c>
      <c r="B27" s="2">
        <v>45095</v>
      </c>
      <c r="C27" t="s">
        <v>31</v>
      </c>
      <c r="D27" t="s">
        <v>46</v>
      </c>
      <c r="E27" t="s">
        <v>11</v>
      </c>
      <c r="F27" t="s">
        <v>12</v>
      </c>
      <c r="G27">
        <v>40062</v>
      </c>
      <c r="H27">
        <v>7</v>
      </c>
      <c r="I27">
        <v>13</v>
      </c>
      <c r="J27" t="s">
        <v>25</v>
      </c>
      <c r="K27" s="4">
        <f>Table1[[#This Row],[Sales]]*Table1[[#This Row],[Quantity]]</f>
        <v>280434</v>
      </c>
      <c r="L27" s="4">
        <f>Table1[[#This Row],[Revenue]]-(Table1[[#This Row],[Revenue]]*Table1[[#This Row],[Discount]]/100)</f>
        <v>243977.58000000002</v>
      </c>
    </row>
    <row r="28" spans="1:12" x14ac:dyDescent="0.55000000000000004">
      <c r="A28" t="s">
        <v>57</v>
      </c>
      <c r="B28" s="2">
        <v>44977</v>
      </c>
      <c r="C28" t="s">
        <v>19</v>
      </c>
      <c r="D28" t="s">
        <v>27</v>
      </c>
      <c r="E28" t="s">
        <v>11</v>
      </c>
      <c r="F28" t="s">
        <v>12</v>
      </c>
      <c r="G28">
        <v>10451</v>
      </c>
      <c r="H28">
        <v>2</v>
      </c>
      <c r="I28">
        <v>18</v>
      </c>
      <c r="J28" t="s">
        <v>25</v>
      </c>
      <c r="K28" s="4">
        <f>Table1[[#This Row],[Sales]]*Table1[[#This Row],[Quantity]]</f>
        <v>20902</v>
      </c>
      <c r="L28" s="4">
        <f>Table1[[#This Row],[Revenue]]-(Table1[[#This Row],[Revenue]]*Table1[[#This Row],[Discount]]/100)</f>
        <v>17139.64</v>
      </c>
    </row>
    <row r="29" spans="1:12" x14ac:dyDescent="0.55000000000000004">
      <c r="A29" t="s">
        <v>58</v>
      </c>
      <c r="B29" s="2">
        <v>44964</v>
      </c>
      <c r="C29" t="s">
        <v>24</v>
      </c>
      <c r="D29" t="s">
        <v>16</v>
      </c>
      <c r="E29" t="s">
        <v>17</v>
      </c>
      <c r="F29" t="s">
        <v>48</v>
      </c>
      <c r="G29">
        <v>20204</v>
      </c>
      <c r="H29">
        <v>6</v>
      </c>
      <c r="I29">
        <v>13</v>
      </c>
      <c r="J29" t="s">
        <v>13</v>
      </c>
      <c r="K29" s="4">
        <f>Table1[[#This Row],[Sales]]*Table1[[#This Row],[Quantity]]</f>
        <v>121224</v>
      </c>
      <c r="L29" s="4">
        <f>Table1[[#This Row],[Revenue]]-(Table1[[#This Row],[Revenue]]*Table1[[#This Row],[Discount]]/100)</f>
        <v>105464.88</v>
      </c>
    </row>
    <row r="30" spans="1:12" x14ac:dyDescent="0.55000000000000004">
      <c r="A30" t="s">
        <v>59</v>
      </c>
      <c r="B30" s="2">
        <v>44993</v>
      </c>
      <c r="C30" t="s">
        <v>19</v>
      </c>
      <c r="D30" t="s">
        <v>46</v>
      </c>
      <c r="E30" t="s">
        <v>11</v>
      </c>
      <c r="F30" t="s">
        <v>34</v>
      </c>
      <c r="G30">
        <v>5079</v>
      </c>
      <c r="H30">
        <v>10</v>
      </c>
      <c r="I30">
        <v>21</v>
      </c>
      <c r="J30" t="s">
        <v>13</v>
      </c>
      <c r="K30" s="4">
        <f>Table1[[#This Row],[Sales]]*Table1[[#This Row],[Quantity]]</f>
        <v>50790</v>
      </c>
      <c r="L30" s="4">
        <f>Table1[[#This Row],[Revenue]]-(Table1[[#This Row],[Revenue]]*Table1[[#This Row],[Discount]]/100)</f>
        <v>40124.1</v>
      </c>
    </row>
    <row r="31" spans="1:12" x14ac:dyDescent="0.55000000000000004">
      <c r="A31" t="s">
        <v>60</v>
      </c>
      <c r="B31" s="2">
        <v>45141</v>
      </c>
      <c r="C31" t="s">
        <v>19</v>
      </c>
      <c r="D31" t="s">
        <v>16</v>
      </c>
      <c r="E31" t="s">
        <v>17</v>
      </c>
      <c r="F31" t="s">
        <v>12</v>
      </c>
      <c r="G31">
        <v>36020</v>
      </c>
      <c r="H31">
        <v>4</v>
      </c>
      <c r="I31">
        <v>5</v>
      </c>
      <c r="J31" t="s">
        <v>13</v>
      </c>
      <c r="K31" s="4">
        <f>Table1[[#This Row],[Sales]]*Table1[[#This Row],[Quantity]]</f>
        <v>144080</v>
      </c>
      <c r="L31" s="4">
        <f>Table1[[#This Row],[Revenue]]-(Table1[[#This Row],[Revenue]]*Table1[[#This Row],[Discount]]/100)</f>
        <v>136876</v>
      </c>
    </row>
    <row r="32" spans="1:12" x14ac:dyDescent="0.55000000000000004">
      <c r="A32" t="s">
        <v>61</v>
      </c>
      <c r="B32" s="2">
        <v>44943</v>
      </c>
      <c r="C32" t="s">
        <v>15</v>
      </c>
      <c r="D32" t="s">
        <v>37</v>
      </c>
      <c r="E32" t="s">
        <v>11</v>
      </c>
      <c r="F32" t="s">
        <v>44</v>
      </c>
      <c r="G32">
        <v>40470</v>
      </c>
      <c r="H32">
        <v>10</v>
      </c>
      <c r="I32">
        <v>0</v>
      </c>
      <c r="J32" t="s">
        <v>13</v>
      </c>
      <c r="K32" s="4">
        <f>Table1[[#This Row],[Sales]]*Table1[[#This Row],[Quantity]]</f>
        <v>404700</v>
      </c>
      <c r="L32" s="4">
        <f>Table1[[#This Row],[Revenue]]-(Table1[[#This Row],[Revenue]]*Table1[[#This Row],[Discount]]/100)</f>
        <v>404700</v>
      </c>
    </row>
    <row r="33" spans="1:12" x14ac:dyDescent="0.55000000000000004">
      <c r="A33" t="s">
        <v>62</v>
      </c>
      <c r="B33" s="2">
        <v>45217</v>
      </c>
      <c r="C33" t="s">
        <v>31</v>
      </c>
      <c r="D33" t="s">
        <v>37</v>
      </c>
      <c r="E33" t="s">
        <v>17</v>
      </c>
      <c r="F33" t="s">
        <v>38</v>
      </c>
      <c r="G33">
        <v>20072</v>
      </c>
      <c r="H33">
        <v>1</v>
      </c>
      <c r="I33">
        <v>23</v>
      </c>
      <c r="J33" t="s">
        <v>22</v>
      </c>
      <c r="K33" s="4">
        <f>Table1[[#This Row],[Sales]]*Table1[[#This Row],[Quantity]]</f>
        <v>20072</v>
      </c>
      <c r="L33" s="4">
        <f>Table1[[#This Row],[Revenue]]-(Table1[[#This Row],[Revenue]]*Table1[[#This Row],[Discount]]/100)</f>
        <v>15455.439999999999</v>
      </c>
    </row>
    <row r="34" spans="1:12" x14ac:dyDescent="0.55000000000000004">
      <c r="A34" t="s">
        <v>63</v>
      </c>
      <c r="B34" s="2">
        <v>45107</v>
      </c>
      <c r="C34" t="s">
        <v>15</v>
      </c>
      <c r="D34" t="s">
        <v>27</v>
      </c>
      <c r="E34" t="s">
        <v>17</v>
      </c>
      <c r="F34" t="s">
        <v>29</v>
      </c>
      <c r="G34">
        <v>46004</v>
      </c>
      <c r="H34">
        <v>4</v>
      </c>
      <c r="I34">
        <v>7</v>
      </c>
      <c r="J34" t="s">
        <v>25</v>
      </c>
      <c r="K34" s="4">
        <f>Table1[[#This Row],[Sales]]*Table1[[#This Row],[Quantity]]</f>
        <v>184016</v>
      </c>
      <c r="L34" s="4">
        <f>Table1[[#This Row],[Revenue]]-(Table1[[#This Row],[Revenue]]*Table1[[#This Row],[Discount]]/100)</f>
        <v>171134.88</v>
      </c>
    </row>
    <row r="35" spans="1:12" x14ac:dyDescent="0.55000000000000004">
      <c r="A35" t="s">
        <v>64</v>
      </c>
      <c r="B35" s="2">
        <v>45277</v>
      </c>
      <c r="C35" t="s">
        <v>19</v>
      </c>
      <c r="D35" t="s">
        <v>20</v>
      </c>
      <c r="E35" t="s">
        <v>17</v>
      </c>
      <c r="F35" t="s">
        <v>44</v>
      </c>
      <c r="G35">
        <v>37799</v>
      </c>
      <c r="H35">
        <v>3</v>
      </c>
      <c r="I35">
        <v>9</v>
      </c>
      <c r="J35" t="s">
        <v>25</v>
      </c>
      <c r="K35" s="4">
        <f>Table1[[#This Row],[Sales]]*Table1[[#This Row],[Quantity]]</f>
        <v>113397</v>
      </c>
      <c r="L35" s="4">
        <f>Table1[[#This Row],[Revenue]]-(Table1[[#This Row],[Revenue]]*Table1[[#This Row],[Discount]]/100)</f>
        <v>103191.27</v>
      </c>
    </row>
    <row r="36" spans="1:12" x14ac:dyDescent="0.55000000000000004">
      <c r="A36" t="s">
        <v>65</v>
      </c>
      <c r="B36" s="2">
        <v>44992</v>
      </c>
      <c r="C36" t="s">
        <v>15</v>
      </c>
      <c r="D36" t="s">
        <v>46</v>
      </c>
      <c r="E36" t="s">
        <v>17</v>
      </c>
      <c r="F36" t="s">
        <v>34</v>
      </c>
      <c r="G36">
        <v>41923</v>
      </c>
      <c r="H36">
        <v>1</v>
      </c>
      <c r="I36">
        <v>9</v>
      </c>
      <c r="J36" t="s">
        <v>25</v>
      </c>
      <c r="K36" s="4">
        <f>Table1[[#This Row],[Sales]]*Table1[[#This Row],[Quantity]]</f>
        <v>41923</v>
      </c>
      <c r="L36" s="4">
        <f>Table1[[#This Row],[Revenue]]-(Table1[[#This Row],[Revenue]]*Table1[[#This Row],[Discount]]/100)</f>
        <v>38149.93</v>
      </c>
    </row>
    <row r="37" spans="1:12" x14ac:dyDescent="0.55000000000000004">
      <c r="A37" t="s">
        <v>66</v>
      </c>
      <c r="B37" s="2">
        <v>45157</v>
      </c>
      <c r="C37" t="s">
        <v>15</v>
      </c>
      <c r="D37" t="s">
        <v>16</v>
      </c>
      <c r="E37" t="s">
        <v>11</v>
      </c>
      <c r="F37" t="s">
        <v>12</v>
      </c>
      <c r="G37">
        <v>11342</v>
      </c>
      <c r="H37">
        <v>8</v>
      </c>
      <c r="I37">
        <v>30</v>
      </c>
      <c r="J37" t="s">
        <v>22</v>
      </c>
      <c r="K37" s="4">
        <f>Table1[[#This Row],[Sales]]*Table1[[#This Row],[Quantity]]</f>
        <v>90736</v>
      </c>
      <c r="L37" s="4">
        <f>Table1[[#This Row],[Revenue]]-(Table1[[#This Row],[Revenue]]*Table1[[#This Row],[Discount]]/100)</f>
        <v>63515.199999999997</v>
      </c>
    </row>
    <row r="38" spans="1:12" x14ac:dyDescent="0.55000000000000004">
      <c r="A38" t="s">
        <v>67</v>
      </c>
      <c r="B38" s="2">
        <v>44938</v>
      </c>
      <c r="C38" t="s">
        <v>15</v>
      </c>
      <c r="D38" t="s">
        <v>27</v>
      </c>
      <c r="E38" t="s">
        <v>11</v>
      </c>
      <c r="F38" t="s">
        <v>38</v>
      </c>
      <c r="G38">
        <v>36624</v>
      </c>
      <c r="H38">
        <v>3</v>
      </c>
      <c r="I38">
        <v>3</v>
      </c>
      <c r="J38" t="s">
        <v>13</v>
      </c>
      <c r="K38" s="4">
        <f>Table1[[#This Row],[Sales]]*Table1[[#This Row],[Quantity]]</f>
        <v>109872</v>
      </c>
      <c r="L38" s="4">
        <f>Table1[[#This Row],[Revenue]]-(Table1[[#This Row],[Revenue]]*Table1[[#This Row],[Discount]]/100)</f>
        <v>106575.84</v>
      </c>
    </row>
    <row r="39" spans="1:12" x14ac:dyDescent="0.55000000000000004">
      <c r="A39" t="s">
        <v>68</v>
      </c>
      <c r="B39" s="2">
        <v>45257</v>
      </c>
      <c r="C39" t="s">
        <v>15</v>
      </c>
      <c r="D39" t="s">
        <v>46</v>
      </c>
      <c r="E39" t="s">
        <v>17</v>
      </c>
      <c r="F39" t="s">
        <v>34</v>
      </c>
      <c r="G39">
        <v>12553</v>
      </c>
      <c r="H39">
        <v>9</v>
      </c>
      <c r="I39">
        <v>19</v>
      </c>
      <c r="J39" t="s">
        <v>22</v>
      </c>
      <c r="K39" s="4">
        <f>Table1[[#This Row],[Sales]]*Table1[[#This Row],[Quantity]]</f>
        <v>112977</v>
      </c>
      <c r="L39" s="4">
        <f>Table1[[#This Row],[Revenue]]-(Table1[[#This Row],[Revenue]]*Table1[[#This Row],[Discount]]/100)</f>
        <v>91511.37</v>
      </c>
    </row>
    <row r="40" spans="1:12" x14ac:dyDescent="0.55000000000000004">
      <c r="A40" t="s">
        <v>69</v>
      </c>
      <c r="B40" s="2">
        <v>45256</v>
      </c>
      <c r="C40" t="s">
        <v>31</v>
      </c>
      <c r="D40" t="s">
        <v>27</v>
      </c>
      <c r="E40" t="s">
        <v>11</v>
      </c>
      <c r="F40" t="s">
        <v>38</v>
      </c>
      <c r="G40">
        <v>2674</v>
      </c>
      <c r="H40">
        <v>5</v>
      </c>
      <c r="I40">
        <v>14</v>
      </c>
      <c r="J40" t="s">
        <v>25</v>
      </c>
      <c r="K40" s="4">
        <f>Table1[[#This Row],[Sales]]*Table1[[#This Row],[Quantity]]</f>
        <v>13370</v>
      </c>
      <c r="L40" s="4">
        <f>Table1[[#This Row],[Revenue]]-(Table1[[#This Row],[Revenue]]*Table1[[#This Row],[Discount]]/100)</f>
        <v>11498.2</v>
      </c>
    </row>
    <row r="41" spans="1:12" x14ac:dyDescent="0.55000000000000004">
      <c r="A41" t="s">
        <v>70</v>
      </c>
      <c r="B41" s="2">
        <v>45005</v>
      </c>
      <c r="C41" t="s">
        <v>19</v>
      </c>
      <c r="D41" t="s">
        <v>20</v>
      </c>
      <c r="E41" t="s">
        <v>11</v>
      </c>
      <c r="F41" t="s">
        <v>48</v>
      </c>
      <c r="G41">
        <v>9199</v>
      </c>
      <c r="H41">
        <v>6</v>
      </c>
      <c r="I41">
        <v>28</v>
      </c>
      <c r="J41" t="s">
        <v>13</v>
      </c>
      <c r="K41" s="4">
        <f>Table1[[#This Row],[Sales]]*Table1[[#This Row],[Quantity]]</f>
        <v>55194</v>
      </c>
      <c r="L41" s="4">
        <f>Table1[[#This Row],[Revenue]]-(Table1[[#This Row],[Revenue]]*Table1[[#This Row],[Discount]]/100)</f>
        <v>39739.68</v>
      </c>
    </row>
    <row r="42" spans="1:12" x14ac:dyDescent="0.55000000000000004">
      <c r="A42" t="s">
        <v>71</v>
      </c>
      <c r="B42" s="2">
        <v>45225</v>
      </c>
      <c r="C42" t="s">
        <v>31</v>
      </c>
      <c r="D42" t="s">
        <v>20</v>
      </c>
      <c r="E42" t="s">
        <v>11</v>
      </c>
      <c r="F42" t="s">
        <v>38</v>
      </c>
      <c r="G42">
        <v>14732</v>
      </c>
      <c r="H42">
        <v>9</v>
      </c>
      <c r="I42">
        <v>30</v>
      </c>
      <c r="J42" t="s">
        <v>13</v>
      </c>
      <c r="K42" s="4">
        <f>Table1[[#This Row],[Sales]]*Table1[[#This Row],[Quantity]]</f>
        <v>132588</v>
      </c>
      <c r="L42" s="4">
        <f>Table1[[#This Row],[Revenue]]-(Table1[[#This Row],[Revenue]]*Table1[[#This Row],[Discount]]/100)</f>
        <v>92811.6</v>
      </c>
    </row>
    <row r="43" spans="1:12" x14ac:dyDescent="0.55000000000000004">
      <c r="A43" t="s">
        <v>72</v>
      </c>
      <c r="B43" s="2">
        <v>45049</v>
      </c>
      <c r="C43" t="s">
        <v>31</v>
      </c>
      <c r="D43" t="s">
        <v>16</v>
      </c>
      <c r="E43" t="s">
        <v>11</v>
      </c>
      <c r="F43" t="s">
        <v>21</v>
      </c>
      <c r="G43">
        <v>40586</v>
      </c>
      <c r="H43">
        <v>10</v>
      </c>
      <c r="I43">
        <v>1</v>
      </c>
      <c r="J43" t="s">
        <v>13</v>
      </c>
      <c r="K43" s="4">
        <f>Table1[[#This Row],[Sales]]*Table1[[#This Row],[Quantity]]</f>
        <v>405860</v>
      </c>
      <c r="L43" s="4">
        <f>Table1[[#This Row],[Revenue]]-(Table1[[#This Row],[Revenue]]*Table1[[#This Row],[Discount]]/100)</f>
        <v>401801.4</v>
      </c>
    </row>
    <row r="44" spans="1:12" x14ac:dyDescent="0.55000000000000004">
      <c r="A44" t="s">
        <v>73</v>
      </c>
      <c r="B44" s="2">
        <v>45048</v>
      </c>
      <c r="C44" t="s">
        <v>15</v>
      </c>
      <c r="D44" t="s">
        <v>37</v>
      </c>
      <c r="E44" t="s">
        <v>17</v>
      </c>
      <c r="F44" t="s">
        <v>38</v>
      </c>
      <c r="G44">
        <v>21956</v>
      </c>
      <c r="H44">
        <v>8</v>
      </c>
      <c r="I44">
        <v>25</v>
      </c>
      <c r="J44" t="s">
        <v>13</v>
      </c>
      <c r="K44" s="4">
        <f>Table1[[#This Row],[Sales]]*Table1[[#This Row],[Quantity]]</f>
        <v>175648</v>
      </c>
      <c r="L44" s="4">
        <f>Table1[[#This Row],[Revenue]]-(Table1[[#This Row],[Revenue]]*Table1[[#This Row],[Discount]]/100)</f>
        <v>131736</v>
      </c>
    </row>
    <row r="45" spans="1:12" x14ac:dyDescent="0.55000000000000004">
      <c r="A45" t="s">
        <v>74</v>
      </c>
      <c r="B45" s="2">
        <v>45108</v>
      </c>
      <c r="C45" t="s">
        <v>19</v>
      </c>
      <c r="D45" t="s">
        <v>46</v>
      </c>
      <c r="E45" t="s">
        <v>17</v>
      </c>
      <c r="F45" t="s">
        <v>21</v>
      </c>
      <c r="G45">
        <v>48078</v>
      </c>
      <c r="H45">
        <v>6</v>
      </c>
      <c r="I45">
        <v>16</v>
      </c>
      <c r="J45" t="s">
        <v>25</v>
      </c>
      <c r="K45" s="4">
        <f>Table1[[#This Row],[Sales]]*Table1[[#This Row],[Quantity]]</f>
        <v>288468</v>
      </c>
      <c r="L45" s="4">
        <f>Table1[[#This Row],[Revenue]]-(Table1[[#This Row],[Revenue]]*Table1[[#This Row],[Discount]]/100)</f>
        <v>242313.12</v>
      </c>
    </row>
    <row r="46" spans="1:12" x14ac:dyDescent="0.55000000000000004">
      <c r="A46" t="s">
        <v>75</v>
      </c>
      <c r="B46" s="2">
        <v>45269</v>
      </c>
      <c r="C46" t="s">
        <v>15</v>
      </c>
      <c r="D46" t="s">
        <v>20</v>
      </c>
      <c r="E46" t="s">
        <v>11</v>
      </c>
      <c r="F46" t="s">
        <v>44</v>
      </c>
      <c r="G46">
        <v>14076</v>
      </c>
      <c r="H46">
        <v>9</v>
      </c>
      <c r="I46">
        <v>5</v>
      </c>
      <c r="J46" t="s">
        <v>25</v>
      </c>
      <c r="K46" s="4">
        <f>Table1[[#This Row],[Sales]]*Table1[[#This Row],[Quantity]]</f>
        <v>126684</v>
      </c>
      <c r="L46" s="4">
        <f>Table1[[#This Row],[Revenue]]-(Table1[[#This Row],[Revenue]]*Table1[[#This Row],[Discount]]/100)</f>
        <v>120349.8</v>
      </c>
    </row>
    <row r="47" spans="1:12" x14ac:dyDescent="0.55000000000000004">
      <c r="A47" t="s">
        <v>76</v>
      </c>
      <c r="B47" s="2">
        <v>44996</v>
      </c>
      <c r="C47" t="s">
        <v>24</v>
      </c>
      <c r="D47" t="s">
        <v>37</v>
      </c>
      <c r="E47" t="s">
        <v>11</v>
      </c>
      <c r="F47" t="s">
        <v>48</v>
      </c>
      <c r="G47">
        <v>40687</v>
      </c>
      <c r="H47">
        <v>4</v>
      </c>
      <c r="I47">
        <v>15</v>
      </c>
      <c r="J47" t="s">
        <v>13</v>
      </c>
      <c r="K47" s="4">
        <f>Table1[[#This Row],[Sales]]*Table1[[#This Row],[Quantity]]</f>
        <v>162748</v>
      </c>
      <c r="L47" s="4">
        <f>Table1[[#This Row],[Revenue]]-(Table1[[#This Row],[Revenue]]*Table1[[#This Row],[Discount]]/100)</f>
        <v>138335.79999999999</v>
      </c>
    </row>
    <row r="48" spans="1:12" x14ac:dyDescent="0.55000000000000004">
      <c r="A48" t="s">
        <v>77</v>
      </c>
      <c r="B48" s="2">
        <v>44994</v>
      </c>
      <c r="C48" t="s">
        <v>19</v>
      </c>
      <c r="D48" t="s">
        <v>46</v>
      </c>
      <c r="E48" t="s">
        <v>17</v>
      </c>
      <c r="F48" t="s">
        <v>29</v>
      </c>
      <c r="G48">
        <v>39790</v>
      </c>
      <c r="H48">
        <v>5</v>
      </c>
      <c r="I48">
        <v>17</v>
      </c>
      <c r="J48" t="s">
        <v>13</v>
      </c>
      <c r="K48" s="4">
        <f>Table1[[#This Row],[Sales]]*Table1[[#This Row],[Quantity]]</f>
        <v>198950</v>
      </c>
      <c r="L48" s="4">
        <f>Table1[[#This Row],[Revenue]]-(Table1[[#This Row],[Revenue]]*Table1[[#This Row],[Discount]]/100)</f>
        <v>165128.5</v>
      </c>
    </row>
    <row r="49" spans="1:12" x14ac:dyDescent="0.55000000000000004">
      <c r="A49" t="s">
        <v>78</v>
      </c>
      <c r="B49" s="2">
        <v>45219</v>
      </c>
      <c r="C49" t="s">
        <v>31</v>
      </c>
      <c r="D49" t="s">
        <v>37</v>
      </c>
      <c r="E49" t="s">
        <v>17</v>
      </c>
      <c r="F49" t="s">
        <v>48</v>
      </c>
      <c r="G49">
        <v>37954</v>
      </c>
      <c r="H49">
        <v>6</v>
      </c>
      <c r="I49">
        <v>29</v>
      </c>
      <c r="J49" t="s">
        <v>13</v>
      </c>
      <c r="K49" s="4">
        <f>Table1[[#This Row],[Sales]]*Table1[[#This Row],[Quantity]]</f>
        <v>227724</v>
      </c>
      <c r="L49" s="4">
        <f>Table1[[#This Row],[Revenue]]-(Table1[[#This Row],[Revenue]]*Table1[[#This Row],[Discount]]/100)</f>
        <v>161684.03999999998</v>
      </c>
    </row>
    <row r="50" spans="1:12" x14ac:dyDescent="0.55000000000000004">
      <c r="A50" t="s">
        <v>79</v>
      </c>
      <c r="B50" s="2">
        <v>45013</v>
      </c>
      <c r="C50" t="s">
        <v>31</v>
      </c>
      <c r="D50" t="s">
        <v>46</v>
      </c>
      <c r="E50" t="s">
        <v>17</v>
      </c>
      <c r="F50" t="s">
        <v>38</v>
      </c>
      <c r="G50">
        <v>35848</v>
      </c>
      <c r="H50">
        <v>10</v>
      </c>
      <c r="I50">
        <v>12</v>
      </c>
      <c r="J50" t="s">
        <v>25</v>
      </c>
      <c r="K50" s="4">
        <f>Table1[[#This Row],[Sales]]*Table1[[#This Row],[Quantity]]</f>
        <v>358480</v>
      </c>
      <c r="L50" s="4">
        <f>Table1[[#This Row],[Revenue]]-(Table1[[#This Row],[Revenue]]*Table1[[#This Row],[Discount]]/100)</f>
        <v>315462.40000000002</v>
      </c>
    </row>
    <row r="51" spans="1:12" x14ac:dyDescent="0.55000000000000004">
      <c r="A51" t="s">
        <v>80</v>
      </c>
      <c r="B51" s="2">
        <v>45257</v>
      </c>
      <c r="C51" t="s">
        <v>19</v>
      </c>
      <c r="D51" t="s">
        <v>46</v>
      </c>
      <c r="E51" t="s">
        <v>17</v>
      </c>
      <c r="F51" t="s">
        <v>21</v>
      </c>
      <c r="G51">
        <v>15152</v>
      </c>
      <c r="H51">
        <v>10</v>
      </c>
      <c r="I51">
        <v>19</v>
      </c>
      <c r="J51" t="s">
        <v>25</v>
      </c>
      <c r="K51" s="4">
        <f>Table1[[#This Row],[Sales]]*Table1[[#This Row],[Quantity]]</f>
        <v>151520</v>
      </c>
      <c r="L51" s="4">
        <f>Table1[[#This Row],[Revenue]]-(Table1[[#This Row],[Revenue]]*Table1[[#This Row],[Discount]]/100)</f>
        <v>122731.2</v>
      </c>
    </row>
    <row r="52" spans="1:12" x14ac:dyDescent="0.55000000000000004">
      <c r="A52" t="s">
        <v>81</v>
      </c>
      <c r="B52" s="2">
        <v>45256</v>
      </c>
      <c r="C52" t="s">
        <v>31</v>
      </c>
      <c r="D52" t="s">
        <v>37</v>
      </c>
      <c r="E52" t="s">
        <v>11</v>
      </c>
      <c r="F52" t="s">
        <v>48</v>
      </c>
      <c r="G52">
        <v>30045</v>
      </c>
      <c r="H52">
        <v>1</v>
      </c>
      <c r="I52">
        <v>5</v>
      </c>
      <c r="J52" t="s">
        <v>25</v>
      </c>
      <c r="K52" s="4">
        <f>Table1[[#This Row],[Sales]]*Table1[[#This Row],[Quantity]]</f>
        <v>30045</v>
      </c>
      <c r="L52" s="4">
        <f>Table1[[#This Row],[Revenue]]-(Table1[[#This Row],[Revenue]]*Table1[[#This Row],[Discount]]/100)</f>
        <v>28542.75</v>
      </c>
    </row>
    <row r="53" spans="1:12" x14ac:dyDescent="0.55000000000000004">
      <c r="A53" t="s">
        <v>82</v>
      </c>
      <c r="B53" s="2">
        <v>44928</v>
      </c>
      <c r="C53" t="s">
        <v>19</v>
      </c>
      <c r="D53" t="s">
        <v>27</v>
      </c>
      <c r="E53" t="s">
        <v>11</v>
      </c>
      <c r="F53" t="s">
        <v>34</v>
      </c>
      <c r="G53">
        <v>47879</v>
      </c>
      <c r="H53">
        <v>8</v>
      </c>
      <c r="I53">
        <v>14</v>
      </c>
      <c r="J53" t="s">
        <v>22</v>
      </c>
      <c r="K53" s="4">
        <f>Table1[[#This Row],[Sales]]*Table1[[#This Row],[Quantity]]</f>
        <v>383032</v>
      </c>
      <c r="L53" s="4">
        <f>Table1[[#This Row],[Revenue]]-(Table1[[#This Row],[Revenue]]*Table1[[#This Row],[Discount]]/100)</f>
        <v>329407.52</v>
      </c>
    </row>
    <row r="54" spans="1:12" x14ac:dyDescent="0.55000000000000004">
      <c r="A54" t="s">
        <v>83</v>
      </c>
      <c r="B54" s="2">
        <v>44929</v>
      </c>
      <c r="C54" t="s">
        <v>24</v>
      </c>
      <c r="D54" t="s">
        <v>20</v>
      </c>
      <c r="E54" t="s">
        <v>11</v>
      </c>
      <c r="F54" t="s">
        <v>38</v>
      </c>
      <c r="G54">
        <v>32135</v>
      </c>
      <c r="H54">
        <v>1</v>
      </c>
      <c r="I54">
        <v>28</v>
      </c>
      <c r="J54" t="s">
        <v>25</v>
      </c>
      <c r="K54" s="4">
        <f>Table1[[#This Row],[Sales]]*Table1[[#This Row],[Quantity]]</f>
        <v>32135</v>
      </c>
      <c r="L54" s="4">
        <f>Table1[[#This Row],[Revenue]]-(Table1[[#This Row],[Revenue]]*Table1[[#This Row],[Discount]]/100)</f>
        <v>23137.200000000001</v>
      </c>
    </row>
    <row r="55" spans="1:12" x14ac:dyDescent="0.55000000000000004">
      <c r="A55" t="s">
        <v>84</v>
      </c>
      <c r="B55" s="2">
        <v>45101</v>
      </c>
      <c r="C55" t="s">
        <v>24</v>
      </c>
      <c r="D55" t="s">
        <v>46</v>
      </c>
      <c r="E55" t="s">
        <v>17</v>
      </c>
      <c r="F55" t="s">
        <v>34</v>
      </c>
      <c r="G55">
        <v>40765</v>
      </c>
      <c r="H55">
        <v>6</v>
      </c>
      <c r="I55">
        <v>27</v>
      </c>
      <c r="J55" t="s">
        <v>25</v>
      </c>
      <c r="K55" s="4">
        <f>Table1[[#This Row],[Sales]]*Table1[[#This Row],[Quantity]]</f>
        <v>244590</v>
      </c>
      <c r="L55" s="4">
        <f>Table1[[#This Row],[Revenue]]-(Table1[[#This Row],[Revenue]]*Table1[[#This Row],[Discount]]/100)</f>
        <v>178550.7</v>
      </c>
    </row>
    <row r="56" spans="1:12" x14ac:dyDescent="0.55000000000000004">
      <c r="A56" t="s">
        <v>85</v>
      </c>
      <c r="B56" s="2">
        <v>45255</v>
      </c>
      <c r="C56" t="s">
        <v>31</v>
      </c>
      <c r="D56" t="s">
        <v>46</v>
      </c>
      <c r="E56" t="s">
        <v>17</v>
      </c>
      <c r="F56" t="s">
        <v>34</v>
      </c>
      <c r="G56">
        <v>4041</v>
      </c>
      <c r="H56">
        <v>1</v>
      </c>
      <c r="I56">
        <v>16</v>
      </c>
      <c r="J56" t="s">
        <v>22</v>
      </c>
      <c r="K56" s="4">
        <f>Table1[[#This Row],[Sales]]*Table1[[#This Row],[Quantity]]</f>
        <v>4041</v>
      </c>
      <c r="L56" s="4">
        <f>Table1[[#This Row],[Revenue]]-(Table1[[#This Row],[Revenue]]*Table1[[#This Row],[Discount]]/100)</f>
        <v>3394.44</v>
      </c>
    </row>
    <row r="57" spans="1:12" x14ac:dyDescent="0.55000000000000004">
      <c r="A57" t="s">
        <v>86</v>
      </c>
      <c r="B57" s="2">
        <v>45155</v>
      </c>
      <c r="C57" t="s">
        <v>31</v>
      </c>
      <c r="D57" t="s">
        <v>46</v>
      </c>
      <c r="E57" t="s">
        <v>11</v>
      </c>
      <c r="F57" t="s">
        <v>12</v>
      </c>
      <c r="G57">
        <v>1811</v>
      </c>
      <c r="H57">
        <v>3</v>
      </c>
      <c r="I57">
        <v>5</v>
      </c>
      <c r="J57" t="s">
        <v>25</v>
      </c>
      <c r="K57" s="4">
        <f>Table1[[#This Row],[Sales]]*Table1[[#This Row],[Quantity]]</f>
        <v>5433</v>
      </c>
      <c r="L57" s="4">
        <f>Table1[[#This Row],[Revenue]]-(Table1[[#This Row],[Revenue]]*Table1[[#This Row],[Discount]]/100)</f>
        <v>5161.3500000000004</v>
      </c>
    </row>
    <row r="58" spans="1:12" x14ac:dyDescent="0.55000000000000004">
      <c r="A58" t="s">
        <v>87</v>
      </c>
      <c r="B58" s="2">
        <v>45110</v>
      </c>
      <c r="C58" t="s">
        <v>31</v>
      </c>
      <c r="D58" t="s">
        <v>46</v>
      </c>
      <c r="E58" t="s">
        <v>17</v>
      </c>
      <c r="F58" t="s">
        <v>44</v>
      </c>
      <c r="G58">
        <v>16318</v>
      </c>
      <c r="H58">
        <v>6</v>
      </c>
      <c r="I58">
        <v>4</v>
      </c>
      <c r="J58" t="s">
        <v>25</v>
      </c>
      <c r="K58" s="4">
        <f>Table1[[#This Row],[Sales]]*Table1[[#This Row],[Quantity]]</f>
        <v>97908</v>
      </c>
      <c r="L58" s="4">
        <f>Table1[[#This Row],[Revenue]]-(Table1[[#This Row],[Revenue]]*Table1[[#This Row],[Discount]]/100)</f>
        <v>93991.679999999993</v>
      </c>
    </row>
    <row r="59" spans="1:12" x14ac:dyDescent="0.55000000000000004">
      <c r="A59" t="s">
        <v>88</v>
      </c>
      <c r="B59" s="2">
        <v>44992</v>
      </c>
      <c r="C59" t="s">
        <v>19</v>
      </c>
      <c r="D59" t="s">
        <v>16</v>
      </c>
      <c r="E59" t="s">
        <v>11</v>
      </c>
      <c r="F59" t="s">
        <v>38</v>
      </c>
      <c r="G59">
        <v>24183</v>
      </c>
      <c r="H59">
        <v>3</v>
      </c>
      <c r="I59">
        <v>19</v>
      </c>
      <c r="J59" t="s">
        <v>22</v>
      </c>
      <c r="K59" s="4">
        <f>Table1[[#This Row],[Sales]]*Table1[[#This Row],[Quantity]]</f>
        <v>72549</v>
      </c>
      <c r="L59" s="4">
        <f>Table1[[#This Row],[Revenue]]-(Table1[[#This Row],[Revenue]]*Table1[[#This Row],[Discount]]/100)</f>
        <v>58764.69</v>
      </c>
    </row>
    <row r="60" spans="1:12" x14ac:dyDescent="0.55000000000000004">
      <c r="A60" t="s">
        <v>89</v>
      </c>
      <c r="B60" s="2">
        <v>44990</v>
      </c>
      <c r="C60" t="s">
        <v>19</v>
      </c>
      <c r="D60" t="s">
        <v>37</v>
      </c>
      <c r="E60" t="s">
        <v>11</v>
      </c>
      <c r="F60" t="s">
        <v>34</v>
      </c>
      <c r="G60">
        <v>32687</v>
      </c>
      <c r="H60">
        <v>2</v>
      </c>
      <c r="I60">
        <v>10</v>
      </c>
      <c r="J60" t="s">
        <v>25</v>
      </c>
      <c r="K60" s="4">
        <f>Table1[[#This Row],[Sales]]*Table1[[#This Row],[Quantity]]</f>
        <v>65374</v>
      </c>
      <c r="L60" s="4">
        <f>Table1[[#This Row],[Revenue]]-(Table1[[#This Row],[Revenue]]*Table1[[#This Row],[Discount]]/100)</f>
        <v>58836.6</v>
      </c>
    </row>
    <row r="61" spans="1:12" x14ac:dyDescent="0.55000000000000004">
      <c r="A61" t="s">
        <v>90</v>
      </c>
      <c r="B61" s="2">
        <v>45261</v>
      </c>
      <c r="C61" t="s">
        <v>15</v>
      </c>
      <c r="D61" t="s">
        <v>27</v>
      </c>
      <c r="E61" t="s">
        <v>17</v>
      </c>
      <c r="F61" t="s">
        <v>44</v>
      </c>
      <c r="G61">
        <v>29817</v>
      </c>
      <c r="H61">
        <v>10</v>
      </c>
      <c r="I61">
        <v>5</v>
      </c>
      <c r="J61" t="s">
        <v>25</v>
      </c>
      <c r="K61" s="4">
        <f>Table1[[#This Row],[Sales]]*Table1[[#This Row],[Quantity]]</f>
        <v>298170</v>
      </c>
      <c r="L61" s="4">
        <f>Table1[[#This Row],[Revenue]]-(Table1[[#This Row],[Revenue]]*Table1[[#This Row],[Discount]]/100)</f>
        <v>283261.5</v>
      </c>
    </row>
    <row r="62" spans="1:12" x14ac:dyDescent="0.55000000000000004">
      <c r="A62" t="s">
        <v>91</v>
      </c>
      <c r="B62" s="2">
        <v>45191</v>
      </c>
      <c r="C62" t="s">
        <v>15</v>
      </c>
      <c r="D62" t="s">
        <v>16</v>
      </c>
      <c r="E62" t="s">
        <v>11</v>
      </c>
      <c r="F62" t="s">
        <v>44</v>
      </c>
      <c r="G62">
        <v>49589</v>
      </c>
      <c r="H62">
        <v>4</v>
      </c>
      <c r="I62">
        <v>12</v>
      </c>
      <c r="J62" t="s">
        <v>25</v>
      </c>
      <c r="K62" s="4">
        <f>Table1[[#This Row],[Sales]]*Table1[[#This Row],[Quantity]]</f>
        <v>198356</v>
      </c>
      <c r="L62" s="4">
        <f>Table1[[#This Row],[Revenue]]-(Table1[[#This Row],[Revenue]]*Table1[[#This Row],[Discount]]/100)</f>
        <v>174553.28</v>
      </c>
    </row>
    <row r="63" spans="1:12" x14ac:dyDescent="0.55000000000000004">
      <c r="A63" t="s">
        <v>92</v>
      </c>
      <c r="B63" s="2">
        <v>45185</v>
      </c>
      <c r="C63" t="s">
        <v>24</v>
      </c>
      <c r="D63" t="s">
        <v>37</v>
      </c>
      <c r="E63" t="s">
        <v>11</v>
      </c>
      <c r="F63" t="s">
        <v>38</v>
      </c>
      <c r="G63">
        <v>34487</v>
      </c>
      <c r="H63">
        <v>7</v>
      </c>
      <c r="I63">
        <v>28</v>
      </c>
      <c r="J63" t="s">
        <v>13</v>
      </c>
      <c r="K63" s="4">
        <f>Table1[[#This Row],[Sales]]*Table1[[#This Row],[Quantity]]</f>
        <v>241409</v>
      </c>
      <c r="L63" s="4">
        <f>Table1[[#This Row],[Revenue]]-(Table1[[#This Row],[Revenue]]*Table1[[#This Row],[Discount]]/100)</f>
        <v>173814.47999999998</v>
      </c>
    </row>
    <row r="64" spans="1:12" x14ac:dyDescent="0.55000000000000004">
      <c r="A64" t="s">
        <v>93</v>
      </c>
      <c r="B64" s="2">
        <v>45230</v>
      </c>
      <c r="C64" t="s">
        <v>15</v>
      </c>
      <c r="D64" t="s">
        <v>46</v>
      </c>
      <c r="E64" t="s">
        <v>17</v>
      </c>
      <c r="F64" t="s">
        <v>48</v>
      </c>
      <c r="G64">
        <v>6012</v>
      </c>
      <c r="H64">
        <v>1</v>
      </c>
      <c r="I64">
        <v>24</v>
      </c>
      <c r="J64" t="s">
        <v>22</v>
      </c>
      <c r="K64" s="4">
        <f>Table1[[#This Row],[Sales]]*Table1[[#This Row],[Quantity]]</f>
        <v>6012</v>
      </c>
      <c r="L64" s="4">
        <f>Table1[[#This Row],[Revenue]]-(Table1[[#This Row],[Revenue]]*Table1[[#This Row],[Discount]]/100)</f>
        <v>4569.12</v>
      </c>
    </row>
    <row r="65" spans="1:12" x14ac:dyDescent="0.55000000000000004">
      <c r="A65" t="s">
        <v>94</v>
      </c>
      <c r="B65" s="2">
        <v>45115</v>
      </c>
      <c r="C65" t="s">
        <v>24</v>
      </c>
      <c r="D65" t="s">
        <v>20</v>
      </c>
      <c r="E65" t="s">
        <v>11</v>
      </c>
      <c r="F65" t="s">
        <v>44</v>
      </c>
      <c r="G65">
        <v>31711</v>
      </c>
      <c r="H65">
        <v>6</v>
      </c>
      <c r="I65">
        <v>7</v>
      </c>
      <c r="J65" t="s">
        <v>13</v>
      </c>
      <c r="K65" s="4">
        <f>Table1[[#This Row],[Sales]]*Table1[[#This Row],[Quantity]]</f>
        <v>190266</v>
      </c>
      <c r="L65" s="4">
        <f>Table1[[#This Row],[Revenue]]-(Table1[[#This Row],[Revenue]]*Table1[[#This Row],[Discount]]/100)</f>
        <v>176947.38</v>
      </c>
    </row>
    <row r="66" spans="1:12" x14ac:dyDescent="0.55000000000000004">
      <c r="A66" t="s">
        <v>95</v>
      </c>
      <c r="B66" s="2">
        <v>45280</v>
      </c>
      <c r="C66" t="s">
        <v>31</v>
      </c>
      <c r="D66" t="s">
        <v>37</v>
      </c>
      <c r="E66" t="s">
        <v>17</v>
      </c>
      <c r="F66" t="s">
        <v>34</v>
      </c>
      <c r="G66">
        <v>26785</v>
      </c>
      <c r="H66">
        <v>3</v>
      </c>
      <c r="I66">
        <v>5</v>
      </c>
      <c r="J66" t="s">
        <v>22</v>
      </c>
      <c r="K66" s="4">
        <f>Table1[[#This Row],[Sales]]*Table1[[#This Row],[Quantity]]</f>
        <v>80355</v>
      </c>
      <c r="L66" s="4">
        <f>Table1[[#This Row],[Revenue]]-(Table1[[#This Row],[Revenue]]*Table1[[#This Row],[Discount]]/100)</f>
        <v>76337.25</v>
      </c>
    </row>
    <row r="67" spans="1:12" x14ac:dyDescent="0.55000000000000004">
      <c r="A67" t="s">
        <v>96</v>
      </c>
      <c r="B67" s="2">
        <v>45205</v>
      </c>
      <c r="C67" t="s">
        <v>15</v>
      </c>
      <c r="D67" t="s">
        <v>16</v>
      </c>
      <c r="E67" t="s">
        <v>11</v>
      </c>
      <c r="F67" t="s">
        <v>38</v>
      </c>
      <c r="G67">
        <v>41035</v>
      </c>
      <c r="H67">
        <v>2</v>
      </c>
      <c r="I67">
        <v>28</v>
      </c>
      <c r="J67" t="s">
        <v>22</v>
      </c>
      <c r="K67" s="4">
        <f>Table1[[#This Row],[Sales]]*Table1[[#This Row],[Quantity]]</f>
        <v>82070</v>
      </c>
      <c r="L67" s="4">
        <f>Table1[[#This Row],[Revenue]]-(Table1[[#This Row],[Revenue]]*Table1[[#This Row],[Discount]]/100)</f>
        <v>59090.400000000001</v>
      </c>
    </row>
    <row r="68" spans="1:12" x14ac:dyDescent="0.55000000000000004">
      <c r="A68" t="s">
        <v>97</v>
      </c>
      <c r="B68" s="2">
        <v>45210</v>
      </c>
      <c r="C68" t="s">
        <v>15</v>
      </c>
      <c r="D68" t="s">
        <v>46</v>
      </c>
      <c r="E68" t="s">
        <v>17</v>
      </c>
      <c r="F68" t="s">
        <v>21</v>
      </c>
      <c r="G68">
        <v>14327</v>
      </c>
      <c r="H68">
        <v>4</v>
      </c>
      <c r="I68">
        <v>17</v>
      </c>
      <c r="J68" t="s">
        <v>25</v>
      </c>
      <c r="K68" s="4">
        <f>Table1[[#This Row],[Sales]]*Table1[[#This Row],[Quantity]]</f>
        <v>57308</v>
      </c>
      <c r="L68" s="4">
        <f>Table1[[#This Row],[Revenue]]-(Table1[[#This Row],[Revenue]]*Table1[[#This Row],[Discount]]/100)</f>
        <v>47565.64</v>
      </c>
    </row>
    <row r="69" spans="1:12" x14ac:dyDescent="0.55000000000000004">
      <c r="A69" t="s">
        <v>98</v>
      </c>
      <c r="B69" s="2">
        <v>45035</v>
      </c>
      <c r="C69" t="s">
        <v>24</v>
      </c>
      <c r="D69" t="s">
        <v>27</v>
      </c>
      <c r="E69" t="s">
        <v>17</v>
      </c>
      <c r="F69" t="s">
        <v>48</v>
      </c>
      <c r="G69">
        <v>39808</v>
      </c>
      <c r="H69">
        <v>6</v>
      </c>
      <c r="I69">
        <v>20</v>
      </c>
      <c r="J69" t="s">
        <v>25</v>
      </c>
      <c r="K69" s="4">
        <f>Table1[[#This Row],[Sales]]*Table1[[#This Row],[Quantity]]</f>
        <v>238848</v>
      </c>
      <c r="L69" s="4">
        <f>Table1[[#This Row],[Revenue]]-(Table1[[#This Row],[Revenue]]*Table1[[#This Row],[Discount]]/100)</f>
        <v>191078.39999999999</v>
      </c>
    </row>
    <row r="70" spans="1:12" x14ac:dyDescent="0.55000000000000004">
      <c r="A70" t="s">
        <v>99</v>
      </c>
      <c r="B70" s="2">
        <v>45019</v>
      </c>
      <c r="C70" t="s">
        <v>15</v>
      </c>
      <c r="D70" t="s">
        <v>37</v>
      </c>
      <c r="E70" t="s">
        <v>17</v>
      </c>
      <c r="F70" t="s">
        <v>48</v>
      </c>
      <c r="G70">
        <v>33451</v>
      </c>
      <c r="H70">
        <v>4</v>
      </c>
      <c r="I70">
        <v>18</v>
      </c>
      <c r="J70" t="s">
        <v>22</v>
      </c>
      <c r="K70" s="4">
        <f>Table1[[#This Row],[Sales]]*Table1[[#This Row],[Quantity]]</f>
        <v>133804</v>
      </c>
      <c r="L70" s="4">
        <f>Table1[[#This Row],[Revenue]]-(Table1[[#This Row],[Revenue]]*Table1[[#This Row],[Discount]]/100)</f>
        <v>109719.28</v>
      </c>
    </row>
    <row r="71" spans="1:12" x14ac:dyDescent="0.55000000000000004">
      <c r="A71" t="s">
        <v>100</v>
      </c>
      <c r="B71" s="2">
        <v>45175</v>
      </c>
      <c r="C71" t="s">
        <v>24</v>
      </c>
      <c r="D71" t="s">
        <v>46</v>
      </c>
      <c r="E71" t="s">
        <v>11</v>
      </c>
      <c r="F71" t="s">
        <v>44</v>
      </c>
      <c r="G71">
        <v>44562</v>
      </c>
      <c r="H71">
        <v>4</v>
      </c>
      <c r="I71">
        <v>24</v>
      </c>
      <c r="J71" t="s">
        <v>13</v>
      </c>
      <c r="K71" s="4">
        <f>Table1[[#This Row],[Sales]]*Table1[[#This Row],[Quantity]]</f>
        <v>178248</v>
      </c>
      <c r="L71" s="4">
        <f>Table1[[#This Row],[Revenue]]-(Table1[[#This Row],[Revenue]]*Table1[[#This Row],[Discount]]/100)</f>
        <v>135468.48000000001</v>
      </c>
    </row>
    <row r="72" spans="1:12" x14ac:dyDescent="0.55000000000000004">
      <c r="A72" t="s">
        <v>101</v>
      </c>
      <c r="B72" s="2">
        <v>45266</v>
      </c>
      <c r="C72" t="s">
        <v>15</v>
      </c>
      <c r="D72" t="s">
        <v>20</v>
      </c>
      <c r="E72" t="s">
        <v>17</v>
      </c>
      <c r="F72" t="s">
        <v>38</v>
      </c>
      <c r="G72">
        <v>39866</v>
      </c>
      <c r="H72">
        <v>5</v>
      </c>
      <c r="I72">
        <v>24</v>
      </c>
      <c r="J72" t="s">
        <v>22</v>
      </c>
      <c r="K72" s="4">
        <f>Table1[[#This Row],[Sales]]*Table1[[#This Row],[Quantity]]</f>
        <v>199330</v>
      </c>
      <c r="L72" s="4">
        <f>Table1[[#This Row],[Revenue]]-(Table1[[#This Row],[Revenue]]*Table1[[#This Row],[Discount]]/100)</f>
        <v>151490.79999999999</v>
      </c>
    </row>
    <row r="73" spans="1:12" x14ac:dyDescent="0.55000000000000004">
      <c r="A73" t="s">
        <v>102</v>
      </c>
      <c r="B73" s="2">
        <v>45192</v>
      </c>
      <c r="C73" t="s">
        <v>31</v>
      </c>
      <c r="D73" t="s">
        <v>37</v>
      </c>
      <c r="E73" t="s">
        <v>17</v>
      </c>
      <c r="F73" t="s">
        <v>34</v>
      </c>
      <c r="G73">
        <v>30405</v>
      </c>
      <c r="H73">
        <v>10</v>
      </c>
      <c r="I73">
        <v>5</v>
      </c>
      <c r="J73" t="s">
        <v>22</v>
      </c>
      <c r="K73" s="4">
        <f>Table1[[#This Row],[Sales]]*Table1[[#This Row],[Quantity]]</f>
        <v>304050</v>
      </c>
      <c r="L73" s="4">
        <f>Table1[[#This Row],[Revenue]]-(Table1[[#This Row],[Revenue]]*Table1[[#This Row],[Discount]]/100)</f>
        <v>288847.5</v>
      </c>
    </row>
    <row r="74" spans="1:12" x14ac:dyDescent="0.55000000000000004">
      <c r="A74" t="s">
        <v>103</v>
      </c>
      <c r="B74" s="2">
        <v>45217</v>
      </c>
      <c r="C74" t="s">
        <v>31</v>
      </c>
      <c r="D74" t="s">
        <v>37</v>
      </c>
      <c r="E74" t="s">
        <v>11</v>
      </c>
      <c r="F74" t="s">
        <v>44</v>
      </c>
      <c r="G74">
        <v>42775</v>
      </c>
      <c r="H74">
        <v>2</v>
      </c>
      <c r="I74">
        <v>6</v>
      </c>
      <c r="J74" t="s">
        <v>22</v>
      </c>
      <c r="K74" s="4">
        <f>Table1[[#This Row],[Sales]]*Table1[[#This Row],[Quantity]]</f>
        <v>85550</v>
      </c>
      <c r="L74" s="4">
        <f>Table1[[#This Row],[Revenue]]-(Table1[[#This Row],[Revenue]]*Table1[[#This Row],[Discount]]/100)</f>
        <v>80417</v>
      </c>
    </row>
    <row r="75" spans="1:12" x14ac:dyDescent="0.55000000000000004">
      <c r="A75" t="s">
        <v>104</v>
      </c>
      <c r="B75" s="2">
        <v>45265</v>
      </c>
      <c r="C75" t="s">
        <v>31</v>
      </c>
      <c r="D75" t="s">
        <v>16</v>
      </c>
      <c r="E75" t="s">
        <v>17</v>
      </c>
      <c r="F75" t="s">
        <v>29</v>
      </c>
      <c r="G75">
        <v>6509</v>
      </c>
      <c r="H75">
        <v>3</v>
      </c>
      <c r="I75">
        <v>6</v>
      </c>
      <c r="J75" t="s">
        <v>13</v>
      </c>
      <c r="K75" s="4">
        <f>Table1[[#This Row],[Sales]]*Table1[[#This Row],[Quantity]]</f>
        <v>19527</v>
      </c>
      <c r="L75" s="4">
        <f>Table1[[#This Row],[Revenue]]-(Table1[[#This Row],[Revenue]]*Table1[[#This Row],[Discount]]/100)</f>
        <v>18355.38</v>
      </c>
    </row>
    <row r="76" spans="1:12" x14ac:dyDescent="0.55000000000000004">
      <c r="A76" t="s">
        <v>105</v>
      </c>
      <c r="B76" s="2">
        <v>45191</v>
      </c>
      <c r="C76" t="s">
        <v>24</v>
      </c>
      <c r="D76" t="s">
        <v>16</v>
      </c>
      <c r="E76" t="s">
        <v>17</v>
      </c>
      <c r="F76" t="s">
        <v>12</v>
      </c>
      <c r="G76">
        <v>3200</v>
      </c>
      <c r="H76">
        <v>10</v>
      </c>
      <c r="I76">
        <v>13</v>
      </c>
      <c r="J76" t="s">
        <v>22</v>
      </c>
      <c r="K76" s="4">
        <f>Table1[[#This Row],[Sales]]*Table1[[#This Row],[Quantity]]</f>
        <v>32000</v>
      </c>
      <c r="L76" s="4">
        <f>Table1[[#This Row],[Revenue]]-(Table1[[#This Row],[Revenue]]*Table1[[#This Row],[Discount]]/100)</f>
        <v>27840</v>
      </c>
    </row>
    <row r="77" spans="1:12" x14ac:dyDescent="0.55000000000000004">
      <c r="A77" t="s">
        <v>106</v>
      </c>
      <c r="B77" s="2">
        <v>45052</v>
      </c>
      <c r="C77" t="s">
        <v>24</v>
      </c>
      <c r="D77" t="s">
        <v>46</v>
      </c>
      <c r="E77" t="s">
        <v>11</v>
      </c>
      <c r="F77" t="s">
        <v>34</v>
      </c>
      <c r="G77">
        <v>31628</v>
      </c>
      <c r="H77">
        <v>5</v>
      </c>
      <c r="I77">
        <v>22</v>
      </c>
      <c r="J77" t="s">
        <v>22</v>
      </c>
      <c r="K77" s="4">
        <f>Table1[[#This Row],[Sales]]*Table1[[#This Row],[Quantity]]</f>
        <v>158140</v>
      </c>
      <c r="L77" s="4">
        <f>Table1[[#This Row],[Revenue]]-(Table1[[#This Row],[Revenue]]*Table1[[#This Row],[Discount]]/100)</f>
        <v>123349.2</v>
      </c>
    </row>
    <row r="78" spans="1:12" x14ac:dyDescent="0.55000000000000004">
      <c r="A78" t="s">
        <v>107</v>
      </c>
      <c r="B78" s="2">
        <v>44958</v>
      </c>
      <c r="C78" t="s">
        <v>31</v>
      </c>
      <c r="D78" t="s">
        <v>37</v>
      </c>
      <c r="E78" t="s">
        <v>17</v>
      </c>
      <c r="F78" t="s">
        <v>21</v>
      </c>
      <c r="G78">
        <v>11411</v>
      </c>
      <c r="H78">
        <v>10</v>
      </c>
      <c r="I78">
        <v>27</v>
      </c>
      <c r="J78" t="s">
        <v>13</v>
      </c>
      <c r="K78" s="4">
        <f>Table1[[#This Row],[Sales]]*Table1[[#This Row],[Quantity]]</f>
        <v>114110</v>
      </c>
      <c r="L78" s="4">
        <f>Table1[[#This Row],[Revenue]]-(Table1[[#This Row],[Revenue]]*Table1[[#This Row],[Discount]]/100)</f>
        <v>83300.3</v>
      </c>
    </row>
    <row r="79" spans="1:12" x14ac:dyDescent="0.55000000000000004">
      <c r="A79" t="s">
        <v>108</v>
      </c>
      <c r="B79" s="2">
        <v>44987</v>
      </c>
      <c r="C79" t="s">
        <v>19</v>
      </c>
      <c r="D79" t="s">
        <v>37</v>
      </c>
      <c r="E79" t="s">
        <v>11</v>
      </c>
      <c r="F79" t="s">
        <v>21</v>
      </c>
      <c r="G79">
        <v>21006</v>
      </c>
      <c r="H79">
        <v>3</v>
      </c>
      <c r="I79">
        <v>16</v>
      </c>
      <c r="J79" t="s">
        <v>22</v>
      </c>
      <c r="K79" s="4">
        <f>Table1[[#This Row],[Sales]]*Table1[[#This Row],[Quantity]]</f>
        <v>63018</v>
      </c>
      <c r="L79" s="4">
        <f>Table1[[#This Row],[Revenue]]-(Table1[[#This Row],[Revenue]]*Table1[[#This Row],[Discount]]/100)</f>
        <v>52935.12</v>
      </c>
    </row>
    <row r="80" spans="1:12" x14ac:dyDescent="0.55000000000000004">
      <c r="A80" t="s">
        <v>109</v>
      </c>
      <c r="B80" s="2">
        <v>45269</v>
      </c>
      <c r="C80" t="s">
        <v>31</v>
      </c>
      <c r="D80" t="s">
        <v>27</v>
      </c>
      <c r="E80" t="s">
        <v>11</v>
      </c>
      <c r="F80" t="s">
        <v>12</v>
      </c>
      <c r="G80">
        <v>26078</v>
      </c>
      <c r="H80">
        <v>7</v>
      </c>
      <c r="I80">
        <v>26</v>
      </c>
      <c r="J80" t="s">
        <v>25</v>
      </c>
      <c r="K80" s="4">
        <f>Table1[[#This Row],[Sales]]*Table1[[#This Row],[Quantity]]</f>
        <v>182546</v>
      </c>
      <c r="L80" s="4">
        <f>Table1[[#This Row],[Revenue]]-(Table1[[#This Row],[Revenue]]*Table1[[#This Row],[Discount]]/100)</f>
        <v>135084.04</v>
      </c>
    </row>
    <row r="81" spans="1:12" x14ac:dyDescent="0.55000000000000004">
      <c r="A81" t="s">
        <v>110</v>
      </c>
      <c r="B81" s="2">
        <v>45147</v>
      </c>
      <c r="C81" t="s">
        <v>31</v>
      </c>
      <c r="D81" t="s">
        <v>20</v>
      </c>
      <c r="E81" t="s">
        <v>11</v>
      </c>
      <c r="F81" t="s">
        <v>29</v>
      </c>
      <c r="G81">
        <v>10877</v>
      </c>
      <c r="H81">
        <v>6</v>
      </c>
      <c r="I81">
        <v>2</v>
      </c>
      <c r="J81" t="s">
        <v>13</v>
      </c>
      <c r="K81" s="4">
        <f>Table1[[#This Row],[Sales]]*Table1[[#This Row],[Quantity]]</f>
        <v>65262</v>
      </c>
      <c r="L81" s="4">
        <f>Table1[[#This Row],[Revenue]]-(Table1[[#This Row],[Revenue]]*Table1[[#This Row],[Discount]]/100)</f>
        <v>63956.76</v>
      </c>
    </row>
    <row r="82" spans="1:12" x14ac:dyDescent="0.55000000000000004">
      <c r="A82" t="s">
        <v>111</v>
      </c>
      <c r="B82" s="2">
        <v>45114</v>
      </c>
      <c r="C82" t="s">
        <v>24</v>
      </c>
      <c r="D82" t="s">
        <v>20</v>
      </c>
      <c r="E82" t="s">
        <v>11</v>
      </c>
      <c r="F82" t="s">
        <v>21</v>
      </c>
      <c r="G82">
        <v>597</v>
      </c>
      <c r="H82">
        <v>9</v>
      </c>
      <c r="I82">
        <v>14</v>
      </c>
      <c r="J82" t="s">
        <v>25</v>
      </c>
      <c r="K82" s="4">
        <f>Table1[[#This Row],[Sales]]*Table1[[#This Row],[Quantity]]</f>
        <v>5373</v>
      </c>
      <c r="L82" s="4">
        <f>Table1[[#This Row],[Revenue]]-(Table1[[#This Row],[Revenue]]*Table1[[#This Row],[Discount]]/100)</f>
        <v>4620.78</v>
      </c>
    </row>
    <row r="83" spans="1:12" x14ac:dyDescent="0.55000000000000004">
      <c r="A83" t="s">
        <v>112</v>
      </c>
      <c r="B83" s="2">
        <v>45016</v>
      </c>
      <c r="C83" t="s">
        <v>15</v>
      </c>
      <c r="D83" t="s">
        <v>20</v>
      </c>
      <c r="E83" t="s">
        <v>11</v>
      </c>
      <c r="F83" t="s">
        <v>29</v>
      </c>
      <c r="G83">
        <v>38959</v>
      </c>
      <c r="H83">
        <v>2</v>
      </c>
      <c r="I83">
        <v>8</v>
      </c>
      <c r="J83" t="s">
        <v>22</v>
      </c>
      <c r="K83" s="4">
        <f>Table1[[#This Row],[Sales]]*Table1[[#This Row],[Quantity]]</f>
        <v>77918</v>
      </c>
      <c r="L83" s="4">
        <f>Table1[[#This Row],[Revenue]]-(Table1[[#This Row],[Revenue]]*Table1[[#This Row],[Discount]]/100)</f>
        <v>71684.56</v>
      </c>
    </row>
    <row r="84" spans="1:12" x14ac:dyDescent="0.55000000000000004">
      <c r="A84" t="s">
        <v>113</v>
      </c>
      <c r="B84" s="2">
        <v>45186</v>
      </c>
      <c r="C84" t="s">
        <v>15</v>
      </c>
      <c r="D84" t="s">
        <v>16</v>
      </c>
      <c r="E84" t="s">
        <v>11</v>
      </c>
      <c r="F84" t="s">
        <v>48</v>
      </c>
      <c r="G84">
        <v>34704</v>
      </c>
      <c r="H84">
        <v>8</v>
      </c>
      <c r="I84">
        <v>23</v>
      </c>
      <c r="J84" t="s">
        <v>22</v>
      </c>
      <c r="K84" s="4">
        <f>Table1[[#This Row],[Sales]]*Table1[[#This Row],[Quantity]]</f>
        <v>277632</v>
      </c>
      <c r="L84" s="4">
        <f>Table1[[#This Row],[Revenue]]-(Table1[[#This Row],[Revenue]]*Table1[[#This Row],[Discount]]/100)</f>
        <v>213776.64000000001</v>
      </c>
    </row>
    <row r="85" spans="1:12" x14ac:dyDescent="0.55000000000000004">
      <c r="A85" t="s">
        <v>114</v>
      </c>
      <c r="B85" s="2">
        <v>44942</v>
      </c>
      <c r="C85" t="s">
        <v>31</v>
      </c>
      <c r="D85" t="s">
        <v>37</v>
      </c>
      <c r="E85" t="s">
        <v>17</v>
      </c>
      <c r="F85" t="s">
        <v>12</v>
      </c>
      <c r="G85">
        <v>25046</v>
      </c>
      <c r="H85">
        <v>7</v>
      </c>
      <c r="I85">
        <v>11</v>
      </c>
      <c r="J85" t="s">
        <v>25</v>
      </c>
      <c r="K85" s="4">
        <f>Table1[[#This Row],[Sales]]*Table1[[#This Row],[Quantity]]</f>
        <v>175322</v>
      </c>
      <c r="L85" s="4">
        <f>Table1[[#This Row],[Revenue]]-(Table1[[#This Row],[Revenue]]*Table1[[#This Row],[Discount]]/100)</f>
        <v>156036.58000000002</v>
      </c>
    </row>
    <row r="86" spans="1:12" x14ac:dyDescent="0.55000000000000004">
      <c r="A86" t="s">
        <v>115</v>
      </c>
      <c r="B86" s="2">
        <v>45156</v>
      </c>
      <c r="C86" t="s">
        <v>15</v>
      </c>
      <c r="D86" t="s">
        <v>16</v>
      </c>
      <c r="E86" t="s">
        <v>17</v>
      </c>
      <c r="F86" t="s">
        <v>21</v>
      </c>
      <c r="G86">
        <v>44117</v>
      </c>
      <c r="H86">
        <v>10</v>
      </c>
      <c r="I86">
        <v>10</v>
      </c>
      <c r="J86" t="s">
        <v>25</v>
      </c>
      <c r="K86" s="4">
        <f>Table1[[#This Row],[Sales]]*Table1[[#This Row],[Quantity]]</f>
        <v>441170</v>
      </c>
      <c r="L86" s="4">
        <f>Table1[[#This Row],[Revenue]]-(Table1[[#This Row],[Revenue]]*Table1[[#This Row],[Discount]]/100)</f>
        <v>397053</v>
      </c>
    </row>
    <row r="87" spans="1:12" x14ac:dyDescent="0.55000000000000004">
      <c r="A87" t="s">
        <v>116</v>
      </c>
      <c r="B87" s="2">
        <v>44999</v>
      </c>
      <c r="C87" t="s">
        <v>15</v>
      </c>
      <c r="D87" t="s">
        <v>37</v>
      </c>
      <c r="E87" t="s">
        <v>11</v>
      </c>
      <c r="F87" t="s">
        <v>29</v>
      </c>
      <c r="G87">
        <v>7908</v>
      </c>
      <c r="H87">
        <v>4</v>
      </c>
      <c r="I87">
        <v>29</v>
      </c>
      <c r="J87" t="s">
        <v>13</v>
      </c>
      <c r="K87" s="4">
        <f>Table1[[#This Row],[Sales]]*Table1[[#This Row],[Quantity]]</f>
        <v>31632</v>
      </c>
      <c r="L87" s="4">
        <f>Table1[[#This Row],[Revenue]]-(Table1[[#This Row],[Revenue]]*Table1[[#This Row],[Discount]]/100)</f>
        <v>22458.720000000001</v>
      </c>
    </row>
    <row r="88" spans="1:12" x14ac:dyDescent="0.55000000000000004">
      <c r="A88" t="s">
        <v>117</v>
      </c>
      <c r="B88" s="2">
        <v>45024</v>
      </c>
      <c r="C88" t="s">
        <v>24</v>
      </c>
      <c r="D88" t="s">
        <v>37</v>
      </c>
      <c r="E88" t="s">
        <v>17</v>
      </c>
      <c r="F88" t="s">
        <v>12</v>
      </c>
      <c r="G88">
        <v>45601</v>
      </c>
      <c r="H88">
        <v>6</v>
      </c>
      <c r="I88">
        <v>17</v>
      </c>
      <c r="J88" t="s">
        <v>22</v>
      </c>
      <c r="K88" s="4">
        <f>Table1[[#This Row],[Sales]]*Table1[[#This Row],[Quantity]]</f>
        <v>273606</v>
      </c>
      <c r="L88" s="4">
        <f>Table1[[#This Row],[Revenue]]-(Table1[[#This Row],[Revenue]]*Table1[[#This Row],[Discount]]/100)</f>
        <v>227092.98</v>
      </c>
    </row>
    <row r="89" spans="1:12" x14ac:dyDescent="0.55000000000000004">
      <c r="A89" t="s">
        <v>118</v>
      </c>
      <c r="B89" s="2">
        <v>45143</v>
      </c>
      <c r="C89" t="s">
        <v>31</v>
      </c>
      <c r="D89" t="s">
        <v>46</v>
      </c>
      <c r="E89" t="s">
        <v>17</v>
      </c>
      <c r="F89" t="s">
        <v>21</v>
      </c>
      <c r="G89">
        <v>33396</v>
      </c>
      <c r="H89">
        <v>5</v>
      </c>
      <c r="I89">
        <v>29</v>
      </c>
      <c r="J89" t="s">
        <v>22</v>
      </c>
      <c r="K89" s="4">
        <f>Table1[[#This Row],[Sales]]*Table1[[#This Row],[Quantity]]</f>
        <v>166980</v>
      </c>
      <c r="L89" s="4">
        <f>Table1[[#This Row],[Revenue]]-(Table1[[#This Row],[Revenue]]*Table1[[#This Row],[Discount]]/100)</f>
        <v>118555.8</v>
      </c>
    </row>
    <row r="90" spans="1:12" x14ac:dyDescent="0.55000000000000004">
      <c r="A90" t="s">
        <v>119</v>
      </c>
      <c r="B90" s="2">
        <v>45103</v>
      </c>
      <c r="C90" t="s">
        <v>31</v>
      </c>
      <c r="D90" t="s">
        <v>27</v>
      </c>
      <c r="E90" t="s">
        <v>11</v>
      </c>
      <c r="F90" t="s">
        <v>12</v>
      </c>
      <c r="G90">
        <v>18432</v>
      </c>
      <c r="H90">
        <v>10</v>
      </c>
      <c r="I90">
        <v>1</v>
      </c>
      <c r="J90" t="s">
        <v>13</v>
      </c>
      <c r="K90" s="4">
        <f>Table1[[#This Row],[Sales]]*Table1[[#This Row],[Quantity]]</f>
        <v>184320</v>
      </c>
      <c r="L90" s="4">
        <f>Table1[[#This Row],[Revenue]]-(Table1[[#This Row],[Revenue]]*Table1[[#This Row],[Discount]]/100)</f>
        <v>182476.79999999999</v>
      </c>
    </row>
    <row r="91" spans="1:12" x14ac:dyDescent="0.55000000000000004">
      <c r="A91" t="s">
        <v>120</v>
      </c>
      <c r="B91" s="2">
        <v>45238</v>
      </c>
      <c r="C91" t="s">
        <v>15</v>
      </c>
      <c r="D91" t="s">
        <v>27</v>
      </c>
      <c r="E91" t="s">
        <v>11</v>
      </c>
      <c r="F91" t="s">
        <v>48</v>
      </c>
      <c r="G91">
        <v>13143</v>
      </c>
      <c r="H91">
        <v>4</v>
      </c>
      <c r="I91">
        <v>8</v>
      </c>
      <c r="J91" t="s">
        <v>13</v>
      </c>
      <c r="K91" s="4">
        <f>Table1[[#This Row],[Sales]]*Table1[[#This Row],[Quantity]]</f>
        <v>52572</v>
      </c>
      <c r="L91" s="4">
        <f>Table1[[#This Row],[Revenue]]-(Table1[[#This Row],[Revenue]]*Table1[[#This Row],[Discount]]/100)</f>
        <v>48366.239999999998</v>
      </c>
    </row>
    <row r="92" spans="1:12" x14ac:dyDescent="0.55000000000000004">
      <c r="A92" t="s">
        <v>121</v>
      </c>
      <c r="B92" s="2">
        <v>45100</v>
      </c>
      <c r="C92" t="s">
        <v>31</v>
      </c>
      <c r="D92" t="s">
        <v>20</v>
      </c>
      <c r="E92" t="s">
        <v>11</v>
      </c>
      <c r="F92" t="s">
        <v>38</v>
      </c>
      <c r="G92">
        <v>903</v>
      </c>
      <c r="H92">
        <v>2</v>
      </c>
      <c r="I92">
        <v>11</v>
      </c>
      <c r="J92" t="s">
        <v>22</v>
      </c>
      <c r="K92" s="4">
        <f>Table1[[#This Row],[Sales]]*Table1[[#This Row],[Quantity]]</f>
        <v>1806</v>
      </c>
      <c r="L92" s="4">
        <f>Table1[[#This Row],[Revenue]]-(Table1[[#This Row],[Revenue]]*Table1[[#This Row],[Discount]]/100)</f>
        <v>1607.34</v>
      </c>
    </row>
    <row r="93" spans="1:12" x14ac:dyDescent="0.55000000000000004">
      <c r="A93" t="s">
        <v>122</v>
      </c>
      <c r="B93" s="2">
        <v>44927</v>
      </c>
      <c r="C93" t="s">
        <v>15</v>
      </c>
      <c r="D93" t="s">
        <v>16</v>
      </c>
      <c r="E93" t="s">
        <v>17</v>
      </c>
      <c r="F93" t="s">
        <v>21</v>
      </c>
      <c r="G93">
        <v>6120</v>
      </c>
      <c r="H93">
        <v>9</v>
      </c>
      <c r="I93">
        <v>6</v>
      </c>
      <c r="J93" t="s">
        <v>25</v>
      </c>
      <c r="K93" s="4">
        <f>Table1[[#This Row],[Sales]]*Table1[[#This Row],[Quantity]]</f>
        <v>55080</v>
      </c>
      <c r="L93" s="4">
        <f>Table1[[#This Row],[Revenue]]-(Table1[[#This Row],[Revenue]]*Table1[[#This Row],[Discount]]/100)</f>
        <v>51775.199999999997</v>
      </c>
    </row>
    <row r="94" spans="1:12" x14ac:dyDescent="0.55000000000000004">
      <c r="A94" t="s">
        <v>123</v>
      </c>
      <c r="B94" s="2">
        <v>45212</v>
      </c>
      <c r="C94" t="s">
        <v>19</v>
      </c>
      <c r="D94" t="s">
        <v>37</v>
      </c>
      <c r="E94" t="s">
        <v>17</v>
      </c>
      <c r="F94" t="s">
        <v>34</v>
      </c>
      <c r="G94">
        <v>27588</v>
      </c>
      <c r="H94">
        <v>6</v>
      </c>
      <c r="I94">
        <v>15</v>
      </c>
      <c r="J94" t="s">
        <v>25</v>
      </c>
      <c r="K94" s="4">
        <f>Table1[[#This Row],[Sales]]*Table1[[#This Row],[Quantity]]</f>
        <v>165528</v>
      </c>
      <c r="L94" s="4">
        <f>Table1[[#This Row],[Revenue]]-(Table1[[#This Row],[Revenue]]*Table1[[#This Row],[Discount]]/100)</f>
        <v>140698.79999999999</v>
      </c>
    </row>
    <row r="95" spans="1:12" x14ac:dyDescent="0.55000000000000004">
      <c r="A95" t="s">
        <v>124</v>
      </c>
      <c r="B95" s="2">
        <v>45137</v>
      </c>
      <c r="C95" t="s">
        <v>31</v>
      </c>
      <c r="D95" t="s">
        <v>27</v>
      </c>
      <c r="E95" t="s">
        <v>11</v>
      </c>
      <c r="F95" t="s">
        <v>48</v>
      </c>
      <c r="G95">
        <v>38533</v>
      </c>
      <c r="H95">
        <v>1</v>
      </c>
      <c r="I95">
        <v>2</v>
      </c>
      <c r="J95" t="s">
        <v>13</v>
      </c>
      <c r="K95" s="4">
        <f>Table1[[#This Row],[Sales]]*Table1[[#This Row],[Quantity]]</f>
        <v>38533</v>
      </c>
      <c r="L95" s="4">
        <f>Table1[[#This Row],[Revenue]]-(Table1[[#This Row],[Revenue]]*Table1[[#This Row],[Discount]]/100)</f>
        <v>37762.339999999997</v>
      </c>
    </row>
    <row r="96" spans="1:12" x14ac:dyDescent="0.55000000000000004">
      <c r="A96" t="s">
        <v>125</v>
      </c>
      <c r="B96" s="2">
        <v>45238</v>
      </c>
      <c r="C96" t="s">
        <v>15</v>
      </c>
      <c r="D96" t="s">
        <v>37</v>
      </c>
      <c r="E96" t="s">
        <v>17</v>
      </c>
      <c r="F96" t="s">
        <v>38</v>
      </c>
      <c r="G96">
        <v>21882</v>
      </c>
      <c r="H96">
        <v>6</v>
      </c>
      <c r="I96">
        <v>17</v>
      </c>
      <c r="J96" t="s">
        <v>22</v>
      </c>
      <c r="K96" s="4">
        <f>Table1[[#This Row],[Sales]]*Table1[[#This Row],[Quantity]]</f>
        <v>131292</v>
      </c>
      <c r="L96" s="4">
        <f>Table1[[#This Row],[Revenue]]-(Table1[[#This Row],[Revenue]]*Table1[[#This Row],[Discount]]/100)</f>
        <v>108972.36</v>
      </c>
    </row>
    <row r="97" spans="1:12" x14ac:dyDescent="0.55000000000000004">
      <c r="A97" t="s">
        <v>126</v>
      </c>
      <c r="B97" s="2">
        <v>45149</v>
      </c>
      <c r="C97" t="s">
        <v>19</v>
      </c>
      <c r="D97" t="s">
        <v>20</v>
      </c>
      <c r="E97" t="s">
        <v>11</v>
      </c>
      <c r="F97" t="s">
        <v>34</v>
      </c>
      <c r="G97">
        <v>46015</v>
      </c>
      <c r="H97">
        <v>6</v>
      </c>
      <c r="I97">
        <v>27</v>
      </c>
      <c r="J97" t="s">
        <v>22</v>
      </c>
      <c r="K97" s="4">
        <f>Table1[[#This Row],[Sales]]*Table1[[#This Row],[Quantity]]</f>
        <v>276090</v>
      </c>
      <c r="L97" s="4">
        <f>Table1[[#This Row],[Revenue]]-(Table1[[#This Row],[Revenue]]*Table1[[#This Row],[Discount]]/100)</f>
        <v>201545.7</v>
      </c>
    </row>
    <row r="98" spans="1:12" x14ac:dyDescent="0.55000000000000004">
      <c r="A98" t="s">
        <v>127</v>
      </c>
      <c r="B98" s="2">
        <v>45176</v>
      </c>
      <c r="C98" t="s">
        <v>24</v>
      </c>
      <c r="D98" t="s">
        <v>16</v>
      </c>
      <c r="E98" t="s">
        <v>17</v>
      </c>
      <c r="F98" t="s">
        <v>34</v>
      </c>
      <c r="G98">
        <v>33139</v>
      </c>
      <c r="H98">
        <v>2</v>
      </c>
      <c r="I98">
        <v>3</v>
      </c>
      <c r="J98" t="s">
        <v>25</v>
      </c>
      <c r="K98" s="4">
        <f>Table1[[#This Row],[Sales]]*Table1[[#This Row],[Quantity]]</f>
        <v>66278</v>
      </c>
      <c r="L98" s="4">
        <f>Table1[[#This Row],[Revenue]]-(Table1[[#This Row],[Revenue]]*Table1[[#This Row],[Discount]]/100)</f>
        <v>64289.66</v>
      </c>
    </row>
    <row r="99" spans="1:12" x14ac:dyDescent="0.55000000000000004">
      <c r="A99" t="s">
        <v>128</v>
      </c>
      <c r="B99" s="2">
        <v>45210</v>
      </c>
      <c r="C99" t="s">
        <v>15</v>
      </c>
      <c r="D99" t="s">
        <v>27</v>
      </c>
      <c r="E99" t="s">
        <v>17</v>
      </c>
      <c r="F99" t="s">
        <v>34</v>
      </c>
      <c r="G99">
        <v>34179</v>
      </c>
      <c r="H99">
        <v>6</v>
      </c>
      <c r="I99">
        <v>3</v>
      </c>
      <c r="J99" t="s">
        <v>25</v>
      </c>
      <c r="K99" s="4">
        <f>Table1[[#This Row],[Sales]]*Table1[[#This Row],[Quantity]]</f>
        <v>205074</v>
      </c>
      <c r="L99" s="4">
        <f>Table1[[#This Row],[Revenue]]-(Table1[[#This Row],[Revenue]]*Table1[[#This Row],[Discount]]/100)</f>
        <v>198921.78</v>
      </c>
    </row>
    <row r="100" spans="1:12" x14ac:dyDescent="0.55000000000000004">
      <c r="A100" t="s">
        <v>129</v>
      </c>
      <c r="B100" s="2">
        <v>45002</v>
      </c>
      <c r="C100" t="s">
        <v>19</v>
      </c>
      <c r="D100" t="s">
        <v>46</v>
      </c>
      <c r="E100" t="s">
        <v>11</v>
      </c>
      <c r="F100" t="s">
        <v>21</v>
      </c>
      <c r="G100">
        <v>26555</v>
      </c>
      <c r="H100">
        <v>10</v>
      </c>
      <c r="I100">
        <v>14</v>
      </c>
      <c r="J100" t="s">
        <v>22</v>
      </c>
      <c r="K100" s="4">
        <f>Table1[[#This Row],[Sales]]*Table1[[#This Row],[Quantity]]</f>
        <v>265550</v>
      </c>
      <c r="L100" s="4">
        <f>Table1[[#This Row],[Revenue]]-(Table1[[#This Row],[Revenue]]*Table1[[#This Row],[Discount]]/100)</f>
        <v>228373</v>
      </c>
    </row>
    <row r="101" spans="1:12" x14ac:dyDescent="0.55000000000000004">
      <c r="A101" t="s">
        <v>130</v>
      </c>
      <c r="B101" s="2">
        <v>45238</v>
      </c>
      <c r="C101" t="s">
        <v>15</v>
      </c>
      <c r="D101" t="s">
        <v>46</v>
      </c>
      <c r="E101" t="s">
        <v>17</v>
      </c>
      <c r="F101" t="s">
        <v>34</v>
      </c>
      <c r="G101">
        <v>10828</v>
      </c>
      <c r="H101">
        <v>7</v>
      </c>
      <c r="I101">
        <v>17</v>
      </c>
      <c r="J101" t="s">
        <v>22</v>
      </c>
      <c r="K101" s="4">
        <f>Table1[[#This Row],[Sales]]*Table1[[#This Row],[Quantity]]</f>
        <v>75796</v>
      </c>
      <c r="L101" s="4">
        <f>Table1[[#This Row],[Revenue]]-(Table1[[#This Row],[Revenue]]*Table1[[#This Row],[Discount]]/100)</f>
        <v>62910.68</v>
      </c>
    </row>
    <row r="102" spans="1:12" x14ac:dyDescent="0.55000000000000004">
      <c r="A102" t="s">
        <v>131</v>
      </c>
      <c r="B102" s="2">
        <v>45131</v>
      </c>
      <c r="C102" t="s">
        <v>31</v>
      </c>
      <c r="D102" t="s">
        <v>46</v>
      </c>
      <c r="E102" t="s">
        <v>17</v>
      </c>
      <c r="F102" t="s">
        <v>44</v>
      </c>
      <c r="G102">
        <v>16377</v>
      </c>
      <c r="H102">
        <v>3</v>
      </c>
      <c r="I102">
        <v>8</v>
      </c>
      <c r="J102" t="s">
        <v>22</v>
      </c>
      <c r="K102" s="4">
        <f>Table1[[#This Row],[Sales]]*Table1[[#This Row],[Quantity]]</f>
        <v>49131</v>
      </c>
      <c r="L102" s="4">
        <f>Table1[[#This Row],[Revenue]]-(Table1[[#This Row],[Revenue]]*Table1[[#This Row],[Discount]]/100)</f>
        <v>45200.52</v>
      </c>
    </row>
    <row r="103" spans="1:12" x14ac:dyDescent="0.55000000000000004">
      <c r="A103" t="s">
        <v>132</v>
      </c>
      <c r="B103" s="2">
        <v>45001</v>
      </c>
      <c r="C103" t="s">
        <v>31</v>
      </c>
      <c r="D103" t="s">
        <v>20</v>
      </c>
      <c r="E103" t="s">
        <v>11</v>
      </c>
      <c r="F103" t="s">
        <v>34</v>
      </c>
      <c r="G103">
        <v>49255</v>
      </c>
      <c r="H103">
        <v>5</v>
      </c>
      <c r="I103">
        <v>12</v>
      </c>
      <c r="J103" t="s">
        <v>25</v>
      </c>
      <c r="K103" s="4">
        <f>Table1[[#This Row],[Sales]]*Table1[[#This Row],[Quantity]]</f>
        <v>246275</v>
      </c>
      <c r="L103" s="4">
        <f>Table1[[#This Row],[Revenue]]-(Table1[[#This Row],[Revenue]]*Table1[[#This Row],[Discount]]/100)</f>
        <v>216722</v>
      </c>
    </row>
    <row r="104" spans="1:12" x14ac:dyDescent="0.55000000000000004">
      <c r="A104" t="s">
        <v>133</v>
      </c>
      <c r="B104" s="2">
        <v>45123</v>
      </c>
      <c r="C104" t="s">
        <v>24</v>
      </c>
      <c r="D104" t="s">
        <v>16</v>
      </c>
      <c r="E104" t="s">
        <v>17</v>
      </c>
      <c r="F104" t="s">
        <v>29</v>
      </c>
      <c r="G104">
        <v>34382</v>
      </c>
      <c r="H104">
        <v>7</v>
      </c>
      <c r="I104">
        <v>16</v>
      </c>
      <c r="J104" t="s">
        <v>22</v>
      </c>
      <c r="K104" s="4">
        <f>Table1[[#This Row],[Sales]]*Table1[[#This Row],[Quantity]]</f>
        <v>240674</v>
      </c>
      <c r="L104" s="4">
        <f>Table1[[#This Row],[Revenue]]-(Table1[[#This Row],[Revenue]]*Table1[[#This Row],[Discount]]/100)</f>
        <v>202166.16</v>
      </c>
    </row>
    <row r="105" spans="1:12" x14ac:dyDescent="0.55000000000000004">
      <c r="A105" t="s">
        <v>134</v>
      </c>
      <c r="B105" s="2">
        <v>45142</v>
      </c>
      <c r="C105" t="s">
        <v>19</v>
      </c>
      <c r="D105" t="s">
        <v>16</v>
      </c>
      <c r="E105" t="s">
        <v>11</v>
      </c>
      <c r="F105" t="s">
        <v>38</v>
      </c>
      <c r="G105">
        <v>49865</v>
      </c>
      <c r="H105">
        <v>3</v>
      </c>
      <c r="I105">
        <v>3</v>
      </c>
      <c r="J105" t="s">
        <v>25</v>
      </c>
      <c r="K105" s="4">
        <f>Table1[[#This Row],[Sales]]*Table1[[#This Row],[Quantity]]</f>
        <v>149595</v>
      </c>
      <c r="L105" s="4">
        <f>Table1[[#This Row],[Revenue]]-(Table1[[#This Row],[Revenue]]*Table1[[#This Row],[Discount]]/100)</f>
        <v>145107.15</v>
      </c>
    </row>
    <row r="106" spans="1:12" x14ac:dyDescent="0.55000000000000004">
      <c r="A106" t="s">
        <v>135</v>
      </c>
      <c r="B106" s="2">
        <v>45275</v>
      </c>
      <c r="C106" t="s">
        <v>31</v>
      </c>
      <c r="D106" t="s">
        <v>46</v>
      </c>
      <c r="E106" t="s">
        <v>17</v>
      </c>
      <c r="F106" t="s">
        <v>21</v>
      </c>
      <c r="G106">
        <v>24645</v>
      </c>
      <c r="H106">
        <v>9</v>
      </c>
      <c r="I106">
        <v>16</v>
      </c>
      <c r="J106" t="s">
        <v>13</v>
      </c>
      <c r="K106" s="4">
        <f>Table1[[#This Row],[Sales]]*Table1[[#This Row],[Quantity]]</f>
        <v>221805</v>
      </c>
      <c r="L106" s="4">
        <f>Table1[[#This Row],[Revenue]]-(Table1[[#This Row],[Revenue]]*Table1[[#This Row],[Discount]]/100)</f>
        <v>186316.2</v>
      </c>
    </row>
    <row r="107" spans="1:12" x14ac:dyDescent="0.55000000000000004">
      <c r="A107" t="s">
        <v>136</v>
      </c>
      <c r="B107" s="2">
        <v>45047</v>
      </c>
      <c r="C107" t="s">
        <v>19</v>
      </c>
      <c r="D107" t="s">
        <v>46</v>
      </c>
      <c r="E107" t="s">
        <v>11</v>
      </c>
      <c r="F107" t="s">
        <v>48</v>
      </c>
      <c r="G107">
        <v>35890</v>
      </c>
      <c r="H107">
        <v>2</v>
      </c>
      <c r="I107">
        <v>12</v>
      </c>
      <c r="J107" t="s">
        <v>13</v>
      </c>
      <c r="K107" s="4">
        <f>Table1[[#This Row],[Sales]]*Table1[[#This Row],[Quantity]]</f>
        <v>71780</v>
      </c>
      <c r="L107" s="4">
        <f>Table1[[#This Row],[Revenue]]-(Table1[[#This Row],[Revenue]]*Table1[[#This Row],[Discount]]/100)</f>
        <v>63166.400000000001</v>
      </c>
    </row>
    <row r="108" spans="1:12" x14ac:dyDescent="0.55000000000000004">
      <c r="A108" t="s">
        <v>137</v>
      </c>
      <c r="B108" s="2">
        <v>45036</v>
      </c>
      <c r="C108" t="s">
        <v>15</v>
      </c>
      <c r="D108" t="s">
        <v>37</v>
      </c>
      <c r="E108" t="s">
        <v>17</v>
      </c>
      <c r="F108" t="s">
        <v>38</v>
      </c>
      <c r="G108">
        <v>31188</v>
      </c>
      <c r="H108">
        <v>8</v>
      </c>
      <c r="I108">
        <v>29</v>
      </c>
      <c r="J108" t="s">
        <v>13</v>
      </c>
      <c r="K108" s="4">
        <f>Table1[[#This Row],[Sales]]*Table1[[#This Row],[Quantity]]</f>
        <v>249504</v>
      </c>
      <c r="L108" s="4">
        <f>Table1[[#This Row],[Revenue]]-(Table1[[#This Row],[Revenue]]*Table1[[#This Row],[Discount]]/100)</f>
        <v>177147.84</v>
      </c>
    </row>
    <row r="109" spans="1:12" x14ac:dyDescent="0.55000000000000004">
      <c r="A109" t="s">
        <v>138</v>
      </c>
      <c r="B109" s="2">
        <v>44973</v>
      </c>
      <c r="C109" t="s">
        <v>31</v>
      </c>
      <c r="D109" t="s">
        <v>37</v>
      </c>
      <c r="E109" t="s">
        <v>17</v>
      </c>
      <c r="F109" t="s">
        <v>34</v>
      </c>
      <c r="G109">
        <v>10670</v>
      </c>
      <c r="H109">
        <v>9</v>
      </c>
      <c r="I109">
        <v>12</v>
      </c>
      <c r="J109" t="s">
        <v>25</v>
      </c>
      <c r="K109" s="4">
        <f>Table1[[#This Row],[Sales]]*Table1[[#This Row],[Quantity]]</f>
        <v>96030</v>
      </c>
      <c r="L109" s="4">
        <f>Table1[[#This Row],[Revenue]]-(Table1[[#This Row],[Revenue]]*Table1[[#This Row],[Discount]]/100)</f>
        <v>84506.4</v>
      </c>
    </row>
    <row r="110" spans="1:12" x14ac:dyDescent="0.55000000000000004">
      <c r="A110" t="s">
        <v>139</v>
      </c>
      <c r="B110" s="2">
        <v>45054</v>
      </c>
      <c r="C110" t="s">
        <v>24</v>
      </c>
      <c r="D110" t="s">
        <v>46</v>
      </c>
      <c r="E110" t="s">
        <v>11</v>
      </c>
      <c r="F110" t="s">
        <v>44</v>
      </c>
      <c r="G110">
        <v>6697</v>
      </c>
      <c r="H110">
        <v>2</v>
      </c>
      <c r="I110">
        <v>14</v>
      </c>
      <c r="J110" t="s">
        <v>13</v>
      </c>
      <c r="K110" s="4">
        <f>Table1[[#This Row],[Sales]]*Table1[[#This Row],[Quantity]]</f>
        <v>13394</v>
      </c>
      <c r="L110" s="4">
        <f>Table1[[#This Row],[Revenue]]-(Table1[[#This Row],[Revenue]]*Table1[[#This Row],[Discount]]/100)</f>
        <v>11518.84</v>
      </c>
    </row>
    <row r="111" spans="1:12" x14ac:dyDescent="0.55000000000000004">
      <c r="A111" t="s">
        <v>140</v>
      </c>
      <c r="B111" s="2">
        <v>45187</v>
      </c>
      <c r="C111" t="s">
        <v>19</v>
      </c>
      <c r="D111" t="s">
        <v>46</v>
      </c>
      <c r="E111" t="s">
        <v>11</v>
      </c>
      <c r="F111" t="s">
        <v>34</v>
      </c>
      <c r="G111">
        <v>5039</v>
      </c>
      <c r="H111">
        <v>10</v>
      </c>
      <c r="I111">
        <v>17</v>
      </c>
      <c r="J111" t="s">
        <v>13</v>
      </c>
      <c r="K111" s="4">
        <f>Table1[[#This Row],[Sales]]*Table1[[#This Row],[Quantity]]</f>
        <v>50390</v>
      </c>
      <c r="L111" s="4">
        <f>Table1[[#This Row],[Revenue]]-(Table1[[#This Row],[Revenue]]*Table1[[#This Row],[Discount]]/100)</f>
        <v>41823.699999999997</v>
      </c>
    </row>
    <row r="112" spans="1:12" x14ac:dyDescent="0.55000000000000004">
      <c r="A112" t="s">
        <v>141</v>
      </c>
      <c r="B112" s="2">
        <v>45020</v>
      </c>
      <c r="C112" t="s">
        <v>31</v>
      </c>
      <c r="D112" t="s">
        <v>46</v>
      </c>
      <c r="E112" t="s">
        <v>11</v>
      </c>
      <c r="F112" t="s">
        <v>34</v>
      </c>
      <c r="G112">
        <v>24679</v>
      </c>
      <c r="H112">
        <v>1</v>
      </c>
      <c r="I112">
        <v>13</v>
      </c>
      <c r="J112" t="s">
        <v>13</v>
      </c>
      <c r="K112" s="4">
        <f>Table1[[#This Row],[Sales]]*Table1[[#This Row],[Quantity]]</f>
        <v>24679</v>
      </c>
      <c r="L112" s="4">
        <f>Table1[[#This Row],[Revenue]]-(Table1[[#This Row],[Revenue]]*Table1[[#This Row],[Discount]]/100)</f>
        <v>21470.73</v>
      </c>
    </row>
    <row r="113" spans="1:12" x14ac:dyDescent="0.55000000000000004">
      <c r="A113" t="s">
        <v>142</v>
      </c>
      <c r="B113" s="2">
        <v>45102</v>
      </c>
      <c r="C113" t="s">
        <v>24</v>
      </c>
      <c r="D113" t="s">
        <v>20</v>
      </c>
      <c r="E113" t="s">
        <v>17</v>
      </c>
      <c r="F113" t="s">
        <v>12</v>
      </c>
      <c r="G113">
        <v>10797</v>
      </c>
      <c r="H113">
        <v>3</v>
      </c>
      <c r="I113">
        <v>4</v>
      </c>
      <c r="J113" t="s">
        <v>13</v>
      </c>
      <c r="K113" s="4">
        <f>Table1[[#This Row],[Sales]]*Table1[[#This Row],[Quantity]]</f>
        <v>32391</v>
      </c>
      <c r="L113" s="4">
        <f>Table1[[#This Row],[Revenue]]-(Table1[[#This Row],[Revenue]]*Table1[[#This Row],[Discount]]/100)</f>
        <v>31095.360000000001</v>
      </c>
    </row>
    <row r="114" spans="1:12" x14ac:dyDescent="0.55000000000000004">
      <c r="A114" t="s">
        <v>143</v>
      </c>
      <c r="B114" s="2">
        <v>45208</v>
      </c>
      <c r="C114" t="s">
        <v>31</v>
      </c>
      <c r="D114" t="s">
        <v>46</v>
      </c>
      <c r="E114" t="s">
        <v>17</v>
      </c>
      <c r="F114" t="s">
        <v>12</v>
      </c>
      <c r="G114">
        <v>32779</v>
      </c>
      <c r="H114">
        <v>2</v>
      </c>
      <c r="I114">
        <v>14</v>
      </c>
      <c r="J114" t="s">
        <v>22</v>
      </c>
      <c r="K114" s="4">
        <f>Table1[[#This Row],[Sales]]*Table1[[#This Row],[Quantity]]</f>
        <v>65558</v>
      </c>
      <c r="L114" s="4">
        <f>Table1[[#This Row],[Revenue]]-(Table1[[#This Row],[Revenue]]*Table1[[#This Row],[Discount]]/100)</f>
        <v>56379.88</v>
      </c>
    </row>
    <row r="115" spans="1:12" x14ac:dyDescent="0.55000000000000004">
      <c r="A115" t="s">
        <v>144</v>
      </c>
      <c r="B115" s="2">
        <v>44992</v>
      </c>
      <c r="C115" t="s">
        <v>15</v>
      </c>
      <c r="D115" t="s">
        <v>46</v>
      </c>
      <c r="E115" t="s">
        <v>11</v>
      </c>
      <c r="F115" t="s">
        <v>44</v>
      </c>
      <c r="G115">
        <v>48623</v>
      </c>
      <c r="H115">
        <v>8</v>
      </c>
      <c r="I115">
        <v>21</v>
      </c>
      <c r="J115" t="s">
        <v>13</v>
      </c>
      <c r="K115" s="4">
        <f>Table1[[#This Row],[Sales]]*Table1[[#This Row],[Quantity]]</f>
        <v>388984</v>
      </c>
      <c r="L115" s="4">
        <f>Table1[[#This Row],[Revenue]]-(Table1[[#This Row],[Revenue]]*Table1[[#This Row],[Discount]]/100)</f>
        <v>307297.36</v>
      </c>
    </row>
    <row r="116" spans="1:12" x14ac:dyDescent="0.55000000000000004">
      <c r="A116" t="s">
        <v>145</v>
      </c>
      <c r="B116" s="2">
        <v>44968</v>
      </c>
      <c r="C116" t="s">
        <v>15</v>
      </c>
      <c r="D116" t="s">
        <v>46</v>
      </c>
      <c r="E116" t="s">
        <v>11</v>
      </c>
      <c r="F116" t="s">
        <v>34</v>
      </c>
      <c r="G116">
        <v>49278</v>
      </c>
      <c r="H116">
        <v>2</v>
      </c>
      <c r="I116">
        <v>24</v>
      </c>
      <c r="J116" t="s">
        <v>25</v>
      </c>
      <c r="K116" s="4">
        <f>Table1[[#This Row],[Sales]]*Table1[[#This Row],[Quantity]]</f>
        <v>98556</v>
      </c>
      <c r="L116" s="4">
        <f>Table1[[#This Row],[Revenue]]-(Table1[[#This Row],[Revenue]]*Table1[[#This Row],[Discount]]/100)</f>
        <v>74902.559999999998</v>
      </c>
    </row>
    <row r="117" spans="1:12" x14ac:dyDescent="0.55000000000000004">
      <c r="A117" t="s">
        <v>146</v>
      </c>
      <c r="B117" s="2">
        <v>45132</v>
      </c>
      <c r="C117" t="s">
        <v>31</v>
      </c>
      <c r="D117" t="s">
        <v>46</v>
      </c>
      <c r="E117" t="s">
        <v>11</v>
      </c>
      <c r="F117" t="s">
        <v>38</v>
      </c>
      <c r="G117">
        <v>34602</v>
      </c>
      <c r="H117">
        <v>2</v>
      </c>
      <c r="I117">
        <v>24</v>
      </c>
      <c r="J117" t="s">
        <v>25</v>
      </c>
      <c r="K117" s="4">
        <f>Table1[[#This Row],[Sales]]*Table1[[#This Row],[Quantity]]</f>
        <v>69204</v>
      </c>
      <c r="L117" s="4">
        <f>Table1[[#This Row],[Revenue]]-(Table1[[#This Row],[Revenue]]*Table1[[#This Row],[Discount]]/100)</f>
        <v>52595.040000000001</v>
      </c>
    </row>
    <row r="118" spans="1:12" x14ac:dyDescent="0.55000000000000004">
      <c r="A118" t="s">
        <v>147</v>
      </c>
      <c r="B118" s="2">
        <v>45093</v>
      </c>
      <c r="C118" t="s">
        <v>24</v>
      </c>
      <c r="D118" t="s">
        <v>20</v>
      </c>
      <c r="E118" t="s">
        <v>11</v>
      </c>
      <c r="F118" t="s">
        <v>29</v>
      </c>
      <c r="G118">
        <v>35555</v>
      </c>
      <c r="H118">
        <v>5</v>
      </c>
      <c r="I118">
        <v>11</v>
      </c>
      <c r="J118" t="s">
        <v>25</v>
      </c>
      <c r="K118" s="4">
        <f>Table1[[#This Row],[Sales]]*Table1[[#This Row],[Quantity]]</f>
        <v>177775</v>
      </c>
      <c r="L118" s="4">
        <f>Table1[[#This Row],[Revenue]]-(Table1[[#This Row],[Revenue]]*Table1[[#This Row],[Discount]]/100)</f>
        <v>158219.75</v>
      </c>
    </row>
    <row r="119" spans="1:12" x14ac:dyDescent="0.55000000000000004">
      <c r="A119" t="s">
        <v>148</v>
      </c>
      <c r="B119" s="2">
        <v>44934</v>
      </c>
      <c r="C119" t="s">
        <v>15</v>
      </c>
      <c r="D119" t="s">
        <v>20</v>
      </c>
      <c r="E119" t="s">
        <v>11</v>
      </c>
      <c r="F119" t="s">
        <v>48</v>
      </c>
      <c r="G119">
        <v>40061</v>
      </c>
      <c r="H119">
        <v>9</v>
      </c>
      <c r="I119">
        <v>5</v>
      </c>
      <c r="J119" t="s">
        <v>22</v>
      </c>
      <c r="K119" s="4">
        <f>Table1[[#This Row],[Sales]]*Table1[[#This Row],[Quantity]]</f>
        <v>360549</v>
      </c>
      <c r="L119" s="4">
        <f>Table1[[#This Row],[Revenue]]-(Table1[[#This Row],[Revenue]]*Table1[[#This Row],[Discount]]/100)</f>
        <v>342521.55</v>
      </c>
    </row>
    <row r="120" spans="1:12" x14ac:dyDescent="0.55000000000000004">
      <c r="A120" t="s">
        <v>149</v>
      </c>
      <c r="B120" s="2">
        <v>45230</v>
      </c>
      <c r="C120" t="s">
        <v>24</v>
      </c>
      <c r="D120" t="s">
        <v>27</v>
      </c>
      <c r="E120" t="s">
        <v>11</v>
      </c>
      <c r="F120" t="s">
        <v>29</v>
      </c>
      <c r="G120">
        <v>15712</v>
      </c>
      <c r="H120">
        <v>8</v>
      </c>
      <c r="I120">
        <v>24</v>
      </c>
      <c r="J120" t="s">
        <v>22</v>
      </c>
      <c r="K120" s="4">
        <f>Table1[[#This Row],[Sales]]*Table1[[#This Row],[Quantity]]</f>
        <v>125696</v>
      </c>
      <c r="L120" s="4">
        <f>Table1[[#This Row],[Revenue]]-(Table1[[#This Row],[Revenue]]*Table1[[#This Row],[Discount]]/100)</f>
        <v>95528.959999999992</v>
      </c>
    </row>
    <row r="121" spans="1:12" x14ac:dyDescent="0.55000000000000004">
      <c r="A121" t="s">
        <v>150</v>
      </c>
      <c r="B121" s="2">
        <v>45239</v>
      </c>
      <c r="C121" t="s">
        <v>15</v>
      </c>
      <c r="D121" t="s">
        <v>37</v>
      </c>
      <c r="E121" t="s">
        <v>17</v>
      </c>
      <c r="F121" t="s">
        <v>12</v>
      </c>
      <c r="G121">
        <v>29207</v>
      </c>
      <c r="H121">
        <v>9</v>
      </c>
      <c r="I121">
        <v>14</v>
      </c>
      <c r="J121" t="s">
        <v>25</v>
      </c>
      <c r="K121" s="4">
        <f>Table1[[#This Row],[Sales]]*Table1[[#This Row],[Quantity]]</f>
        <v>262863</v>
      </c>
      <c r="L121" s="4">
        <f>Table1[[#This Row],[Revenue]]-(Table1[[#This Row],[Revenue]]*Table1[[#This Row],[Discount]]/100)</f>
        <v>226062.18</v>
      </c>
    </row>
    <row r="122" spans="1:12" x14ac:dyDescent="0.55000000000000004">
      <c r="A122" t="s">
        <v>151</v>
      </c>
      <c r="B122" s="2">
        <v>45104</v>
      </c>
      <c r="C122" t="s">
        <v>24</v>
      </c>
      <c r="D122" t="s">
        <v>16</v>
      </c>
      <c r="E122" t="s">
        <v>17</v>
      </c>
      <c r="F122" t="s">
        <v>38</v>
      </c>
      <c r="G122">
        <v>4174</v>
      </c>
      <c r="H122">
        <v>8</v>
      </c>
      <c r="I122">
        <v>8</v>
      </c>
      <c r="J122" t="s">
        <v>13</v>
      </c>
      <c r="K122" s="4">
        <f>Table1[[#This Row],[Sales]]*Table1[[#This Row],[Quantity]]</f>
        <v>33392</v>
      </c>
      <c r="L122" s="4">
        <f>Table1[[#This Row],[Revenue]]-(Table1[[#This Row],[Revenue]]*Table1[[#This Row],[Discount]]/100)</f>
        <v>30720.639999999999</v>
      </c>
    </row>
    <row r="123" spans="1:12" x14ac:dyDescent="0.55000000000000004">
      <c r="A123" t="s">
        <v>152</v>
      </c>
      <c r="B123" s="2">
        <v>45171</v>
      </c>
      <c r="C123" t="s">
        <v>15</v>
      </c>
      <c r="D123" t="s">
        <v>46</v>
      </c>
      <c r="E123" t="s">
        <v>17</v>
      </c>
      <c r="F123" t="s">
        <v>21</v>
      </c>
      <c r="G123">
        <v>11466</v>
      </c>
      <c r="H123">
        <v>6</v>
      </c>
      <c r="I123">
        <v>7</v>
      </c>
      <c r="J123" t="s">
        <v>22</v>
      </c>
      <c r="K123" s="4">
        <f>Table1[[#This Row],[Sales]]*Table1[[#This Row],[Quantity]]</f>
        <v>68796</v>
      </c>
      <c r="L123" s="4">
        <f>Table1[[#This Row],[Revenue]]-(Table1[[#This Row],[Revenue]]*Table1[[#This Row],[Discount]]/100)</f>
        <v>63980.28</v>
      </c>
    </row>
    <row r="124" spans="1:12" x14ac:dyDescent="0.55000000000000004">
      <c r="A124" t="s">
        <v>153</v>
      </c>
      <c r="B124" s="2">
        <v>45195</v>
      </c>
      <c r="C124" t="s">
        <v>31</v>
      </c>
      <c r="D124" t="s">
        <v>37</v>
      </c>
      <c r="E124" t="s">
        <v>17</v>
      </c>
      <c r="F124" t="s">
        <v>34</v>
      </c>
      <c r="G124">
        <v>43155</v>
      </c>
      <c r="H124">
        <v>2</v>
      </c>
      <c r="I124">
        <v>6</v>
      </c>
      <c r="J124" t="s">
        <v>13</v>
      </c>
      <c r="K124" s="4">
        <f>Table1[[#This Row],[Sales]]*Table1[[#This Row],[Quantity]]</f>
        <v>86310</v>
      </c>
      <c r="L124" s="4">
        <f>Table1[[#This Row],[Revenue]]-(Table1[[#This Row],[Revenue]]*Table1[[#This Row],[Discount]]/100)</f>
        <v>81131.399999999994</v>
      </c>
    </row>
    <row r="125" spans="1:12" x14ac:dyDescent="0.55000000000000004">
      <c r="A125" t="s">
        <v>154</v>
      </c>
      <c r="B125" s="2">
        <v>45095</v>
      </c>
      <c r="C125" t="s">
        <v>19</v>
      </c>
      <c r="D125" t="s">
        <v>20</v>
      </c>
      <c r="E125" t="s">
        <v>17</v>
      </c>
      <c r="F125" t="s">
        <v>21</v>
      </c>
      <c r="G125">
        <v>2571</v>
      </c>
      <c r="H125">
        <v>7</v>
      </c>
      <c r="I125">
        <v>21</v>
      </c>
      <c r="J125" t="s">
        <v>25</v>
      </c>
      <c r="K125" s="4">
        <f>Table1[[#This Row],[Sales]]*Table1[[#This Row],[Quantity]]</f>
        <v>17997</v>
      </c>
      <c r="L125" s="4">
        <f>Table1[[#This Row],[Revenue]]-(Table1[[#This Row],[Revenue]]*Table1[[#This Row],[Discount]]/100)</f>
        <v>14217.630000000001</v>
      </c>
    </row>
    <row r="126" spans="1:12" x14ac:dyDescent="0.55000000000000004">
      <c r="A126" t="s">
        <v>155</v>
      </c>
      <c r="B126" s="2">
        <v>45055</v>
      </c>
      <c r="C126" t="s">
        <v>31</v>
      </c>
      <c r="D126" t="s">
        <v>20</v>
      </c>
      <c r="E126" t="s">
        <v>11</v>
      </c>
      <c r="F126" t="s">
        <v>44</v>
      </c>
      <c r="G126">
        <v>15773</v>
      </c>
      <c r="H126">
        <v>10</v>
      </c>
      <c r="I126">
        <v>25</v>
      </c>
      <c r="J126" t="s">
        <v>22</v>
      </c>
      <c r="K126" s="4">
        <f>Table1[[#This Row],[Sales]]*Table1[[#This Row],[Quantity]]</f>
        <v>157730</v>
      </c>
      <c r="L126" s="4">
        <f>Table1[[#This Row],[Revenue]]-(Table1[[#This Row],[Revenue]]*Table1[[#This Row],[Discount]]/100)</f>
        <v>118297.5</v>
      </c>
    </row>
    <row r="127" spans="1:12" x14ac:dyDescent="0.55000000000000004">
      <c r="A127" t="s">
        <v>156</v>
      </c>
      <c r="B127" s="2">
        <v>44951</v>
      </c>
      <c r="C127" t="s">
        <v>19</v>
      </c>
      <c r="D127" t="s">
        <v>37</v>
      </c>
      <c r="E127" t="s">
        <v>17</v>
      </c>
      <c r="F127" t="s">
        <v>44</v>
      </c>
      <c r="G127">
        <v>31911</v>
      </c>
      <c r="H127">
        <v>6</v>
      </c>
      <c r="I127">
        <v>11</v>
      </c>
      <c r="J127" t="s">
        <v>13</v>
      </c>
      <c r="K127" s="4">
        <f>Table1[[#This Row],[Sales]]*Table1[[#This Row],[Quantity]]</f>
        <v>191466</v>
      </c>
      <c r="L127" s="4">
        <f>Table1[[#This Row],[Revenue]]-(Table1[[#This Row],[Revenue]]*Table1[[#This Row],[Discount]]/100)</f>
        <v>170404.74</v>
      </c>
    </row>
    <row r="128" spans="1:12" x14ac:dyDescent="0.55000000000000004">
      <c r="A128" t="s">
        <v>157</v>
      </c>
      <c r="B128" s="2">
        <v>45061</v>
      </c>
      <c r="C128" t="s">
        <v>19</v>
      </c>
      <c r="D128" t="s">
        <v>20</v>
      </c>
      <c r="E128" t="s">
        <v>17</v>
      </c>
      <c r="F128" t="s">
        <v>34</v>
      </c>
      <c r="G128">
        <v>36410</v>
      </c>
      <c r="H128">
        <v>5</v>
      </c>
      <c r="I128">
        <v>27</v>
      </c>
      <c r="J128" t="s">
        <v>13</v>
      </c>
      <c r="K128" s="4">
        <f>Table1[[#This Row],[Sales]]*Table1[[#This Row],[Quantity]]</f>
        <v>182050</v>
      </c>
      <c r="L128" s="4">
        <f>Table1[[#This Row],[Revenue]]-(Table1[[#This Row],[Revenue]]*Table1[[#This Row],[Discount]]/100)</f>
        <v>132896.5</v>
      </c>
    </row>
    <row r="129" spans="1:12" x14ac:dyDescent="0.55000000000000004">
      <c r="A129" t="s">
        <v>158</v>
      </c>
      <c r="B129" s="2">
        <v>45083</v>
      </c>
      <c r="C129" t="s">
        <v>15</v>
      </c>
      <c r="D129" t="s">
        <v>16</v>
      </c>
      <c r="E129" t="s">
        <v>11</v>
      </c>
      <c r="F129" t="s">
        <v>29</v>
      </c>
      <c r="G129">
        <v>12376</v>
      </c>
      <c r="H129">
        <v>7</v>
      </c>
      <c r="I129">
        <v>10</v>
      </c>
      <c r="J129" t="s">
        <v>22</v>
      </c>
      <c r="K129" s="4">
        <f>Table1[[#This Row],[Sales]]*Table1[[#This Row],[Quantity]]</f>
        <v>86632</v>
      </c>
      <c r="L129" s="4">
        <f>Table1[[#This Row],[Revenue]]-(Table1[[#This Row],[Revenue]]*Table1[[#This Row],[Discount]]/100)</f>
        <v>77968.800000000003</v>
      </c>
    </row>
    <row r="130" spans="1:12" x14ac:dyDescent="0.55000000000000004">
      <c r="A130" t="s">
        <v>159</v>
      </c>
      <c r="B130" s="2">
        <v>45276</v>
      </c>
      <c r="C130" t="s">
        <v>24</v>
      </c>
      <c r="D130" t="s">
        <v>20</v>
      </c>
      <c r="E130" t="s">
        <v>17</v>
      </c>
      <c r="F130" t="s">
        <v>38</v>
      </c>
      <c r="G130">
        <v>47939</v>
      </c>
      <c r="H130">
        <v>4</v>
      </c>
      <c r="I130">
        <v>8</v>
      </c>
      <c r="J130" t="s">
        <v>13</v>
      </c>
      <c r="K130" s="4">
        <f>Table1[[#This Row],[Sales]]*Table1[[#This Row],[Quantity]]</f>
        <v>191756</v>
      </c>
      <c r="L130" s="4">
        <f>Table1[[#This Row],[Revenue]]-(Table1[[#This Row],[Revenue]]*Table1[[#This Row],[Discount]]/100)</f>
        <v>176415.52</v>
      </c>
    </row>
    <row r="131" spans="1:12" x14ac:dyDescent="0.55000000000000004">
      <c r="A131" t="s">
        <v>160</v>
      </c>
      <c r="B131" s="2">
        <v>45078</v>
      </c>
      <c r="C131" t="s">
        <v>31</v>
      </c>
      <c r="D131" t="s">
        <v>16</v>
      </c>
      <c r="E131" t="s">
        <v>17</v>
      </c>
      <c r="F131" t="s">
        <v>38</v>
      </c>
      <c r="G131">
        <v>20152</v>
      </c>
      <c r="H131">
        <v>10</v>
      </c>
      <c r="I131">
        <v>8</v>
      </c>
      <c r="J131" t="s">
        <v>22</v>
      </c>
      <c r="K131" s="4">
        <f>Table1[[#This Row],[Sales]]*Table1[[#This Row],[Quantity]]</f>
        <v>201520</v>
      </c>
      <c r="L131" s="4">
        <f>Table1[[#This Row],[Revenue]]-(Table1[[#This Row],[Revenue]]*Table1[[#This Row],[Discount]]/100)</f>
        <v>185398.39999999999</v>
      </c>
    </row>
    <row r="132" spans="1:12" x14ac:dyDescent="0.55000000000000004">
      <c r="A132" t="s">
        <v>161</v>
      </c>
      <c r="B132" s="2">
        <v>45071</v>
      </c>
      <c r="C132" t="s">
        <v>31</v>
      </c>
      <c r="D132" t="s">
        <v>16</v>
      </c>
      <c r="E132" t="s">
        <v>11</v>
      </c>
      <c r="F132" t="s">
        <v>34</v>
      </c>
      <c r="G132">
        <v>49092</v>
      </c>
      <c r="H132">
        <v>8</v>
      </c>
      <c r="I132">
        <v>2</v>
      </c>
      <c r="J132" t="s">
        <v>25</v>
      </c>
      <c r="K132" s="4">
        <f>Table1[[#This Row],[Sales]]*Table1[[#This Row],[Quantity]]</f>
        <v>392736</v>
      </c>
      <c r="L132" s="4">
        <f>Table1[[#This Row],[Revenue]]-(Table1[[#This Row],[Revenue]]*Table1[[#This Row],[Discount]]/100)</f>
        <v>384881.28</v>
      </c>
    </row>
    <row r="133" spans="1:12" x14ac:dyDescent="0.55000000000000004">
      <c r="A133" t="s">
        <v>162</v>
      </c>
      <c r="B133" s="2">
        <v>44958</v>
      </c>
      <c r="C133" t="s">
        <v>19</v>
      </c>
      <c r="D133" t="s">
        <v>37</v>
      </c>
      <c r="E133" t="s">
        <v>17</v>
      </c>
      <c r="F133" t="s">
        <v>44</v>
      </c>
      <c r="G133">
        <v>49547</v>
      </c>
      <c r="H133">
        <v>5</v>
      </c>
      <c r="I133">
        <v>13</v>
      </c>
      <c r="J133" t="s">
        <v>22</v>
      </c>
      <c r="K133" s="4">
        <f>Table1[[#This Row],[Sales]]*Table1[[#This Row],[Quantity]]</f>
        <v>247735</v>
      </c>
      <c r="L133" s="4">
        <f>Table1[[#This Row],[Revenue]]-(Table1[[#This Row],[Revenue]]*Table1[[#This Row],[Discount]]/100)</f>
        <v>215529.45</v>
      </c>
    </row>
    <row r="134" spans="1:12" x14ac:dyDescent="0.55000000000000004">
      <c r="A134" t="s">
        <v>163</v>
      </c>
      <c r="B134" s="2">
        <v>44979</v>
      </c>
      <c r="C134" t="s">
        <v>15</v>
      </c>
      <c r="D134" t="s">
        <v>20</v>
      </c>
      <c r="E134" t="s">
        <v>17</v>
      </c>
      <c r="F134" t="s">
        <v>34</v>
      </c>
      <c r="G134">
        <v>16848</v>
      </c>
      <c r="H134">
        <v>4</v>
      </c>
      <c r="I134">
        <v>25</v>
      </c>
      <c r="J134" t="s">
        <v>13</v>
      </c>
      <c r="K134" s="4">
        <f>Table1[[#This Row],[Sales]]*Table1[[#This Row],[Quantity]]</f>
        <v>67392</v>
      </c>
      <c r="L134" s="4">
        <f>Table1[[#This Row],[Revenue]]-(Table1[[#This Row],[Revenue]]*Table1[[#This Row],[Discount]]/100)</f>
        <v>50544</v>
      </c>
    </row>
    <row r="135" spans="1:12" x14ac:dyDescent="0.55000000000000004">
      <c r="A135" t="s">
        <v>164</v>
      </c>
      <c r="B135" s="2">
        <v>45142</v>
      </c>
      <c r="C135" t="s">
        <v>15</v>
      </c>
      <c r="D135" t="s">
        <v>20</v>
      </c>
      <c r="E135" t="s">
        <v>17</v>
      </c>
      <c r="F135" t="s">
        <v>21</v>
      </c>
      <c r="G135">
        <v>21259</v>
      </c>
      <c r="H135">
        <v>1</v>
      </c>
      <c r="I135">
        <v>18</v>
      </c>
      <c r="J135" t="s">
        <v>13</v>
      </c>
      <c r="K135" s="4">
        <f>Table1[[#This Row],[Sales]]*Table1[[#This Row],[Quantity]]</f>
        <v>21259</v>
      </c>
      <c r="L135" s="4">
        <f>Table1[[#This Row],[Revenue]]-(Table1[[#This Row],[Revenue]]*Table1[[#This Row],[Discount]]/100)</f>
        <v>17432.38</v>
      </c>
    </row>
    <row r="136" spans="1:12" x14ac:dyDescent="0.55000000000000004">
      <c r="A136" t="s">
        <v>165</v>
      </c>
      <c r="B136" s="2">
        <v>45034</v>
      </c>
      <c r="C136" t="s">
        <v>15</v>
      </c>
      <c r="D136" t="s">
        <v>46</v>
      </c>
      <c r="E136" t="s">
        <v>11</v>
      </c>
      <c r="F136" t="s">
        <v>29</v>
      </c>
      <c r="G136">
        <v>10837</v>
      </c>
      <c r="H136">
        <v>10</v>
      </c>
      <c r="I136">
        <v>1</v>
      </c>
      <c r="J136" t="s">
        <v>13</v>
      </c>
      <c r="K136" s="4">
        <f>Table1[[#This Row],[Sales]]*Table1[[#This Row],[Quantity]]</f>
        <v>108370</v>
      </c>
      <c r="L136" s="4">
        <f>Table1[[#This Row],[Revenue]]-(Table1[[#This Row],[Revenue]]*Table1[[#This Row],[Discount]]/100)</f>
        <v>107286.3</v>
      </c>
    </row>
    <row r="137" spans="1:12" x14ac:dyDescent="0.55000000000000004">
      <c r="A137" t="s">
        <v>166</v>
      </c>
      <c r="B137" s="2">
        <v>44976</v>
      </c>
      <c r="C137" t="s">
        <v>19</v>
      </c>
      <c r="D137" t="s">
        <v>46</v>
      </c>
      <c r="E137" t="s">
        <v>11</v>
      </c>
      <c r="F137" t="s">
        <v>29</v>
      </c>
      <c r="G137">
        <v>19405</v>
      </c>
      <c r="H137">
        <v>5</v>
      </c>
      <c r="I137">
        <v>24</v>
      </c>
      <c r="J137" t="s">
        <v>22</v>
      </c>
      <c r="K137" s="4">
        <f>Table1[[#This Row],[Sales]]*Table1[[#This Row],[Quantity]]</f>
        <v>97025</v>
      </c>
      <c r="L137" s="4">
        <f>Table1[[#This Row],[Revenue]]-(Table1[[#This Row],[Revenue]]*Table1[[#This Row],[Discount]]/100)</f>
        <v>73739</v>
      </c>
    </row>
    <row r="138" spans="1:12" x14ac:dyDescent="0.55000000000000004">
      <c r="A138" t="s">
        <v>167</v>
      </c>
      <c r="B138" s="2">
        <v>45185</v>
      </c>
      <c r="C138" t="s">
        <v>15</v>
      </c>
      <c r="D138" t="s">
        <v>27</v>
      </c>
      <c r="E138" t="s">
        <v>11</v>
      </c>
      <c r="F138" t="s">
        <v>44</v>
      </c>
      <c r="G138">
        <v>37511</v>
      </c>
      <c r="H138">
        <v>8</v>
      </c>
      <c r="I138">
        <v>19</v>
      </c>
      <c r="J138" t="s">
        <v>25</v>
      </c>
      <c r="K138" s="4">
        <f>Table1[[#This Row],[Sales]]*Table1[[#This Row],[Quantity]]</f>
        <v>300088</v>
      </c>
      <c r="L138" s="4">
        <f>Table1[[#This Row],[Revenue]]-(Table1[[#This Row],[Revenue]]*Table1[[#This Row],[Discount]]/100)</f>
        <v>243071.28</v>
      </c>
    </row>
    <row r="139" spans="1:12" x14ac:dyDescent="0.55000000000000004">
      <c r="A139" t="s">
        <v>168</v>
      </c>
      <c r="B139" s="2">
        <v>45205</v>
      </c>
      <c r="C139" t="s">
        <v>24</v>
      </c>
      <c r="D139" t="s">
        <v>20</v>
      </c>
      <c r="E139" t="s">
        <v>11</v>
      </c>
      <c r="F139" t="s">
        <v>21</v>
      </c>
      <c r="G139">
        <v>13852</v>
      </c>
      <c r="H139">
        <v>5</v>
      </c>
      <c r="I139">
        <v>17</v>
      </c>
      <c r="J139" t="s">
        <v>13</v>
      </c>
      <c r="K139" s="4">
        <f>Table1[[#This Row],[Sales]]*Table1[[#This Row],[Quantity]]</f>
        <v>69260</v>
      </c>
      <c r="L139" s="4">
        <f>Table1[[#This Row],[Revenue]]-(Table1[[#This Row],[Revenue]]*Table1[[#This Row],[Discount]]/100)</f>
        <v>57485.8</v>
      </c>
    </row>
    <row r="140" spans="1:12" x14ac:dyDescent="0.55000000000000004">
      <c r="A140" t="s">
        <v>169</v>
      </c>
      <c r="B140" s="2">
        <v>45219</v>
      </c>
      <c r="C140" t="s">
        <v>15</v>
      </c>
      <c r="D140" t="s">
        <v>46</v>
      </c>
      <c r="E140" t="s">
        <v>11</v>
      </c>
      <c r="F140" t="s">
        <v>48</v>
      </c>
      <c r="G140">
        <v>36406</v>
      </c>
      <c r="H140">
        <v>5</v>
      </c>
      <c r="I140">
        <v>14</v>
      </c>
      <c r="J140" t="s">
        <v>13</v>
      </c>
      <c r="K140" s="4">
        <f>Table1[[#This Row],[Sales]]*Table1[[#This Row],[Quantity]]</f>
        <v>182030</v>
      </c>
      <c r="L140" s="4">
        <f>Table1[[#This Row],[Revenue]]-(Table1[[#This Row],[Revenue]]*Table1[[#This Row],[Discount]]/100)</f>
        <v>156545.79999999999</v>
      </c>
    </row>
    <row r="141" spans="1:12" x14ac:dyDescent="0.55000000000000004">
      <c r="A141" t="s">
        <v>170</v>
      </c>
      <c r="B141" s="2">
        <v>45215</v>
      </c>
      <c r="C141" t="s">
        <v>24</v>
      </c>
      <c r="D141" t="s">
        <v>46</v>
      </c>
      <c r="E141" t="s">
        <v>11</v>
      </c>
      <c r="F141" t="s">
        <v>38</v>
      </c>
      <c r="G141">
        <v>48544</v>
      </c>
      <c r="H141">
        <v>4</v>
      </c>
      <c r="I141">
        <v>5</v>
      </c>
      <c r="J141" t="s">
        <v>13</v>
      </c>
      <c r="K141" s="4">
        <f>Table1[[#This Row],[Sales]]*Table1[[#This Row],[Quantity]]</f>
        <v>194176</v>
      </c>
      <c r="L141" s="4">
        <f>Table1[[#This Row],[Revenue]]-(Table1[[#This Row],[Revenue]]*Table1[[#This Row],[Discount]]/100)</f>
        <v>184467.20000000001</v>
      </c>
    </row>
    <row r="142" spans="1:12" x14ac:dyDescent="0.55000000000000004">
      <c r="A142" t="s">
        <v>171</v>
      </c>
      <c r="B142" s="2">
        <v>44976</v>
      </c>
      <c r="C142" t="s">
        <v>24</v>
      </c>
      <c r="D142" t="s">
        <v>16</v>
      </c>
      <c r="E142" t="s">
        <v>11</v>
      </c>
      <c r="F142" t="s">
        <v>44</v>
      </c>
      <c r="G142">
        <v>42107</v>
      </c>
      <c r="H142">
        <v>8</v>
      </c>
      <c r="I142">
        <v>26</v>
      </c>
      <c r="J142" t="s">
        <v>25</v>
      </c>
      <c r="K142" s="4">
        <f>Table1[[#This Row],[Sales]]*Table1[[#This Row],[Quantity]]</f>
        <v>336856</v>
      </c>
      <c r="L142" s="4">
        <f>Table1[[#This Row],[Revenue]]-(Table1[[#This Row],[Revenue]]*Table1[[#This Row],[Discount]]/100)</f>
        <v>249273.44</v>
      </c>
    </row>
    <row r="143" spans="1:12" x14ac:dyDescent="0.55000000000000004">
      <c r="A143" t="s">
        <v>172</v>
      </c>
      <c r="B143" s="2">
        <v>45138</v>
      </c>
      <c r="C143" t="s">
        <v>31</v>
      </c>
      <c r="D143" t="s">
        <v>20</v>
      </c>
      <c r="E143" t="s">
        <v>17</v>
      </c>
      <c r="F143" t="s">
        <v>21</v>
      </c>
      <c r="G143">
        <v>43776</v>
      </c>
      <c r="H143">
        <v>4</v>
      </c>
      <c r="I143">
        <v>25</v>
      </c>
      <c r="J143" t="s">
        <v>22</v>
      </c>
      <c r="K143" s="4">
        <f>Table1[[#This Row],[Sales]]*Table1[[#This Row],[Quantity]]</f>
        <v>175104</v>
      </c>
      <c r="L143" s="4">
        <f>Table1[[#This Row],[Revenue]]-(Table1[[#This Row],[Revenue]]*Table1[[#This Row],[Discount]]/100)</f>
        <v>131328</v>
      </c>
    </row>
    <row r="144" spans="1:12" x14ac:dyDescent="0.55000000000000004">
      <c r="A144" t="s">
        <v>173</v>
      </c>
      <c r="B144" s="2">
        <v>44947</v>
      </c>
      <c r="C144" t="s">
        <v>31</v>
      </c>
      <c r="D144" t="s">
        <v>27</v>
      </c>
      <c r="E144" t="s">
        <v>11</v>
      </c>
      <c r="F144" t="s">
        <v>34</v>
      </c>
      <c r="G144">
        <v>1632</v>
      </c>
      <c r="H144">
        <v>10</v>
      </c>
      <c r="I144">
        <v>7</v>
      </c>
      <c r="J144" t="s">
        <v>13</v>
      </c>
      <c r="K144" s="4">
        <f>Table1[[#This Row],[Sales]]*Table1[[#This Row],[Quantity]]</f>
        <v>16320</v>
      </c>
      <c r="L144" s="4">
        <f>Table1[[#This Row],[Revenue]]-(Table1[[#This Row],[Revenue]]*Table1[[#This Row],[Discount]]/100)</f>
        <v>15177.6</v>
      </c>
    </row>
    <row r="145" spans="1:12" x14ac:dyDescent="0.55000000000000004">
      <c r="A145" t="s">
        <v>174</v>
      </c>
      <c r="B145" s="2">
        <v>45067</v>
      </c>
      <c r="C145" t="s">
        <v>31</v>
      </c>
      <c r="D145" t="s">
        <v>37</v>
      </c>
      <c r="E145" t="s">
        <v>11</v>
      </c>
      <c r="F145" t="s">
        <v>21</v>
      </c>
      <c r="G145">
        <v>25975</v>
      </c>
      <c r="H145">
        <v>4</v>
      </c>
      <c r="I145">
        <v>27</v>
      </c>
      <c r="J145" t="s">
        <v>13</v>
      </c>
      <c r="K145" s="4">
        <f>Table1[[#This Row],[Sales]]*Table1[[#This Row],[Quantity]]</f>
        <v>103900</v>
      </c>
      <c r="L145" s="4">
        <f>Table1[[#This Row],[Revenue]]-(Table1[[#This Row],[Revenue]]*Table1[[#This Row],[Discount]]/100)</f>
        <v>75847</v>
      </c>
    </row>
    <row r="146" spans="1:12" x14ac:dyDescent="0.55000000000000004">
      <c r="A146" t="s">
        <v>175</v>
      </c>
      <c r="B146" s="2">
        <v>45045</v>
      </c>
      <c r="C146" t="s">
        <v>15</v>
      </c>
      <c r="D146" t="s">
        <v>27</v>
      </c>
      <c r="E146" t="s">
        <v>17</v>
      </c>
      <c r="F146" t="s">
        <v>12</v>
      </c>
      <c r="G146">
        <v>7668</v>
      </c>
      <c r="H146">
        <v>5</v>
      </c>
      <c r="I146">
        <v>15</v>
      </c>
      <c r="J146" t="s">
        <v>22</v>
      </c>
      <c r="K146" s="4">
        <f>Table1[[#This Row],[Sales]]*Table1[[#This Row],[Quantity]]</f>
        <v>38340</v>
      </c>
      <c r="L146" s="4">
        <f>Table1[[#This Row],[Revenue]]-(Table1[[#This Row],[Revenue]]*Table1[[#This Row],[Discount]]/100)</f>
        <v>32589</v>
      </c>
    </row>
    <row r="147" spans="1:12" x14ac:dyDescent="0.55000000000000004">
      <c r="A147" t="s">
        <v>176</v>
      </c>
      <c r="B147" s="2">
        <v>45265</v>
      </c>
      <c r="C147" t="s">
        <v>31</v>
      </c>
      <c r="D147" t="s">
        <v>46</v>
      </c>
      <c r="E147" t="s">
        <v>17</v>
      </c>
      <c r="F147" t="s">
        <v>12</v>
      </c>
      <c r="G147">
        <v>33491</v>
      </c>
      <c r="H147">
        <v>6</v>
      </c>
      <c r="I147">
        <v>8</v>
      </c>
      <c r="J147" t="s">
        <v>22</v>
      </c>
      <c r="K147" s="4">
        <f>Table1[[#This Row],[Sales]]*Table1[[#This Row],[Quantity]]</f>
        <v>200946</v>
      </c>
      <c r="L147" s="4">
        <f>Table1[[#This Row],[Revenue]]-(Table1[[#This Row],[Revenue]]*Table1[[#This Row],[Discount]]/100)</f>
        <v>184870.32</v>
      </c>
    </row>
    <row r="148" spans="1:12" x14ac:dyDescent="0.55000000000000004">
      <c r="A148" t="s">
        <v>177</v>
      </c>
      <c r="B148" s="2">
        <v>45085</v>
      </c>
      <c r="C148" t="s">
        <v>24</v>
      </c>
      <c r="D148" t="s">
        <v>20</v>
      </c>
      <c r="E148" t="s">
        <v>11</v>
      </c>
      <c r="F148" t="s">
        <v>44</v>
      </c>
      <c r="G148">
        <v>11564</v>
      </c>
      <c r="H148">
        <v>1</v>
      </c>
      <c r="I148">
        <v>21</v>
      </c>
      <c r="J148" t="s">
        <v>22</v>
      </c>
      <c r="K148" s="4">
        <f>Table1[[#This Row],[Sales]]*Table1[[#This Row],[Quantity]]</f>
        <v>11564</v>
      </c>
      <c r="L148" s="4">
        <f>Table1[[#This Row],[Revenue]]-(Table1[[#This Row],[Revenue]]*Table1[[#This Row],[Discount]]/100)</f>
        <v>9135.56</v>
      </c>
    </row>
    <row r="149" spans="1:12" x14ac:dyDescent="0.55000000000000004">
      <c r="A149" t="s">
        <v>178</v>
      </c>
      <c r="B149" s="2">
        <v>45129</v>
      </c>
      <c r="C149" t="s">
        <v>31</v>
      </c>
      <c r="D149" t="s">
        <v>16</v>
      </c>
      <c r="E149" t="s">
        <v>11</v>
      </c>
      <c r="F149" t="s">
        <v>48</v>
      </c>
      <c r="G149">
        <v>39517</v>
      </c>
      <c r="H149">
        <v>8</v>
      </c>
      <c r="I149">
        <v>10</v>
      </c>
      <c r="J149" t="s">
        <v>13</v>
      </c>
      <c r="K149" s="4">
        <f>Table1[[#This Row],[Sales]]*Table1[[#This Row],[Quantity]]</f>
        <v>316136</v>
      </c>
      <c r="L149" s="4">
        <f>Table1[[#This Row],[Revenue]]-(Table1[[#This Row],[Revenue]]*Table1[[#This Row],[Discount]]/100)</f>
        <v>284522.40000000002</v>
      </c>
    </row>
    <row r="150" spans="1:12" x14ac:dyDescent="0.55000000000000004">
      <c r="A150" t="s">
        <v>179</v>
      </c>
      <c r="B150" s="2">
        <v>45178</v>
      </c>
      <c r="C150" t="s">
        <v>19</v>
      </c>
      <c r="D150" t="s">
        <v>20</v>
      </c>
      <c r="E150" t="s">
        <v>17</v>
      </c>
      <c r="F150" t="s">
        <v>12</v>
      </c>
      <c r="G150">
        <v>30288</v>
      </c>
      <c r="H150">
        <v>3</v>
      </c>
      <c r="I150">
        <v>20</v>
      </c>
      <c r="J150" t="s">
        <v>22</v>
      </c>
      <c r="K150" s="4">
        <f>Table1[[#This Row],[Sales]]*Table1[[#This Row],[Quantity]]</f>
        <v>90864</v>
      </c>
      <c r="L150" s="4">
        <f>Table1[[#This Row],[Revenue]]-(Table1[[#This Row],[Revenue]]*Table1[[#This Row],[Discount]]/100)</f>
        <v>72691.199999999997</v>
      </c>
    </row>
    <row r="151" spans="1:12" x14ac:dyDescent="0.55000000000000004">
      <c r="A151" t="s">
        <v>180</v>
      </c>
      <c r="B151" s="2">
        <v>44982</v>
      </c>
      <c r="C151" t="s">
        <v>15</v>
      </c>
      <c r="D151" t="s">
        <v>20</v>
      </c>
      <c r="E151" t="s">
        <v>11</v>
      </c>
      <c r="F151" t="s">
        <v>21</v>
      </c>
      <c r="G151">
        <v>12077</v>
      </c>
      <c r="H151">
        <v>1</v>
      </c>
      <c r="I151">
        <v>22</v>
      </c>
      <c r="J151" t="s">
        <v>22</v>
      </c>
      <c r="K151" s="4">
        <f>Table1[[#This Row],[Sales]]*Table1[[#This Row],[Quantity]]</f>
        <v>12077</v>
      </c>
      <c r="L151" s="4">
        <f>Table1[[#This Row],[Revenue]]-(Table1[[#This Row],[Revenue]]*Table1[[#This Row],[Discount]]/100)</f>
        <v>9420.06</v>
      </c>
    </row>
    <row r="152" spans="1:12" x14ac:dyDescent="0.55000000000000004">
      <c r="A152" t="s">
        <v>181</v>
      </c>
      <c r="B152" s="2">
        <v>45260</v>
      </c>
      <c r="C152" t="s">
        <v>19</v>
      </c>
      <c r="D152" t="s">
        <v>20</v>
      </c>
      <c r="E152" t="s">
        <v>17</v>
      </c>
      <c r="F152" t="s">
        <v>29</v>
      </c>
      <c r="G152">
        <v>32009</v>
      </c>
      <c r="H152">
        <v>7</v>
      </c>
      <c r="I152">
        <v>5</v>
      </c>
      <c r="J152" t="s">
        <v>22</v>
      </c>
      <c r="K152" s="4">
        <f>Table1[[#This Row],[Sales]]*Table1[[#This Row],[Quantity]]</f>
        <v>224063</v>
      </c>
      <c r="L152" s="4">
        <f>Table1[[#This Row],[Revenue]]-(Table1[[#This Row],[Revenue]]*Table1[[#This Row],[Discount]]/100)</f>
        <v>212859.85</v>
      </c>
    </row>
    <row r="153" spans="1:12" x14ac:dyDescent="0.55000000000000004">
      <c r="A153" t="s">
        <v>182</v>
      </c>
      <c r="B153" s="2">
        <v>45265</v>
      </c>
      <c r="C153" t="s">
        <v>19</v>
      </c>
      <c r="D153" t="s">
        <v>16</v>
      </c>
      <c r="E153" t="s">
        <v>11</v>
      </c>
      <c r="F153" t="s">
        <v>38</v>
      </c>
      <c r="G153">
        <v>42765</v>
      </c>
      <c r="H153">
        <v>1</v>
      </c>
      <c r="I153">
        <v>27</v>
      </c>
      <c r="J153" t="s">
        <v>25</v>
      </c>
      <c r="K153" s="4">
        <f>Table1[[#This Row],[Sales]]*Table1[[#This Row],[Quantity]]</f>
        <v>42765</v>
      </c>
      <c r="L153" s="4">
        <f>Table1[[#This Row],[Revenue]]-(Table1[[#This Row],[Revenue]]*Table1[[#This Row],[Discount]]/100)</f>
        <v>31218.45</v>
      </c>
    </row>
    <row r="154" spans="1:12" x14ac:dyDescent="0.55000000000000004">
      <c r="A154" t="s">
        <v>183</v>
      </c>
      <c r="B154" s="2">
        <v>45090</v>
      </c>
      <c r="C154" t="s">
        <v>19</v>
      </c>
      <c r="D154" t="s">
        <v>46</v>
      </c>
      <c r="E154" t="s">
        <v>17</v>
      </c>
      <c r="F154" t="s">
        <v>44</v>
      </c>
      <c r="G154">
        <v>19496</v>
      </c>
      <c r="H154">
        <v>10</v>
      </c>
      <c r="I154">
        <v>17</v>
      </c>
      <c r="J154" t="s">
        <v>13</v>
      </c>
      <c r="K154" s="4">
        <f>Table1[[#This Row],[Sales]]*Table1[[#This Row],[Quantity]]</f>
        <v>194960</v>
      </c>
      <c r="L154" s="4">
        <f>Table1[[#This Row],[Revenue]]-(Table1[[#This Row],[Revenue]]*Table1[[#This Row],[Discount]]/100)</f>
        <v>161816.79999999999</v>
      </c>
    </row>
    <row r="155" spans="1:12" x14ac:dyDescent="0.55000000000000004">
      <c r="A155" t="s">
        <v>184</v>
      </c>
      <c r="B155" s="2">
        <v>44937</v>
      </c>
      <c r="C155" t="s">
        <v>24</v>
      </c>
      <c r="D155" t="s">
        <v>27</v>
      </c>
      <c r="E155" t="s">
        <v>17</v>
      </c>
      <c r="F155" t="s">
        <v>12</v>
      </c>
      <c r="G155">
        <v>28280</v>
      </c>
      <c r="H155">
        <v>7</v>
      </c>
      <c r="I155">
        <v>22</v>
      </c>
      <c r="J155" t="s">
        <v>13</v>
      </c>
      <c r="K155" s="4">
        <f>Table1[[#This Row],[Sales]]*Table1[[#This Row],[Quantity]]</f>
        <v>197960</v>
      </c>
      <c r="L155" s="4">
        <f>Table1[[#This Row],[Revenue]]-(Table1[[#This Row],[Revenue]]*Table1[[#This Row],[Discount]]/100)</f>
        <v>154408.79999999999</v>
      </c>
    </row>
    <row r="156" spans="1:12" x14ac:dyDescent="0.55000000000000004">
      <c r="A156" t="s">
        <v>185</v>
      </c>
      <c r="B156" s="2">
        <v>45260</v>
      </c>
      <c r="C156" t="s">
        <v>15</v>
      </c>
      <c r="D156" t="s">
        <v>16</v>
      </c>
      <c r="E156" t="s">
        <v>11</v>
      </c>
      <c r="F156" t="s">
        <v>38</v>
      </c>
      <c r="G156">
        <v>23547</v>
      </c>
      <c r="H156">
        <v>6</v>
      </c>
      <c r="I156">
        <v>6</v>
      </c>
      <c r="J156" t="s">
        <v>25</v>
      </c>
      <c r="K156" s="4">
        <f>Table1[[#This Row],[Sales]]*Table1[[#This Row],[Quantity]]</f>
        <v>141282</v>
      </c>
      <c r="L156" s="4">
        <f>Table1[[#This Row],[Revenue]]-(Table1[[#This Row],[Revenue]]*Table1[[#This Row],[Discount]]/100)</f>
        <v>132805.07999999999</v>
      </c>
    </row>
    <row r="157" spans="1:12" x14ac:dyDescent="0.55000000000000004">
      <c r="A157" t="s">
        <v>186</v>
      </c>
      <c r="B157" s="2">
        <v>45117</v>
      </c>
      <c r="C157" t="s">
        <v>15</v>
      </c>
      <c r="D157" t="s">
        <v>37</v>
      </c>
      <c r="E157" t="s">
        <v>17</v>
      </c>
      <c r="F157" t="s">
        <v>12</v>
      </c>
      <c r="G157">
        <v>44915</v>
      </c>
      <c r="H157">
        <v>9</v>
      </c>
      <c r="I157">
        <v>6</v>
      </c>
      <c r="J157" t="s">
        <v>13</v>
      </c>
      <c r="K157" s="4">
        <f>Table1[[#This Row],[Sales]]*Table1[[#This Row],[Quantity]]</f>
        <v>404235</v>
      </c>
      <c r="L157" s="4">
        <f>Table1[[#This Row],[Revenue]]-(Table1[[#This Row],[Revenue]]*Table1[[#This Row],[Discount]]/100)</f>
        <v>379980.9</v>
      </c>
    </row>
    <row r="158" spans="1:12" x14ac:dyDescent="0.55000000000000004">
      <c r="A158" t="s">
        <v>187</v>
      </c>
      <c r="B158" s="2">
        <v>45139</v>
      </c>
      <c r="C158" t="s">
        <v>24</v>
      </c>
      <c r="D158" t="s">
        <v>20</v>
      </c>
      <c r="E158" t="s">
        <v>17</v>
      </c>
      <c r="F158" t="s">
        <v>12</v>
      </c>
      <c r="G158">
        <v>4076</v>
      </c>
      <c r="H158">
        <v>5</v>
      </c>
      <c r="I158">
        <v>25</v>
      </c>
      <c r="J158" t="s">
        <v>22</v>
      </c>
      <c r="K158" s="4">
        <f>Table1[[#This Row],[Sales]]*Table1[[#This Row],[Quantity]]</f>
        <v>20380</v>
      </c>
      <c r="L158" s="4">
        <f>Table1[[#This Row],[Revenue]]-(Table1[[#This Row],[Revenue]]*Table1[[#This Row],[Discount]]/100)</f>
        <v>15285</v>
      </c>
    </row>
    <row r="159" spans="1:12" x14ac:dyDescent="0.55000000000000004">
      <c r="A159" t="s">
        <v>188</v>
      </c>
      <c r="B159" s="2">
        <v>45203</v>
      </c>
      <c r="C159" t="s">
        <v>19</v>
      </c>
      <c r="D159" t="s">
        <v>20</v>
      </c>
      <c r="E159" t="s">
        <v>11</v>
      </c>
      <c r="F159" t="s">
        <v>21</v>
      </c>
      <c r="G159">
        <v>44865</v>
      </c>
      <c r="H159">
        <v>7</v>
      </c>
      <c r="I159">
        <v>25</v>
      </c>
      <c r="J159" t="s">
        <v>22</v>
      </c>
      <c r="K159" s="4">
        <f>Table1[[#This Row],[Sales]]*Table1[[#This Row],[Quantity]]</f>
        <v>314055</v>
      </c>
      <c r="L159" s="4">
        <f>Table1[[#This Row],[Revenue]]-(Table1[[#This Row],[Revenue]]*Table1[[#This Row],[Discount]]/100)</f>
        <v>235541.25</v>
      </c>
    </row>
    <row r="160" spans="1:12" x14ac:dyDescent="0.55000000000000004">
      <c r="A160" t="s">
        <v>189</v>
      </c>
      <c r="B160" s="2">
        <v>45102</v>
      </c>
      <c r="C160" t="s">
        <v>24</v>
      </c>
      <c r="D160" t="s">
        <v>37</v>
      </c>
      <c r="E160" t="s">
        <v>17</v>
      </c>
      <c r="F160" t="s">
        <v>48</v>
      </c>
      <c r="G160">
        <v>19914</v>
      </c>
      <c r="H160">
        <v>5</v>
      </c>
      <c r="I160">
        <v>23</v>
      </c>
      <c r="J160" t="s">
        <v>22</v>
      </c>
      <c r="K160" s="4">
        <f>Table1[[#This Row],[Sales]]*Table1[[#This Row],[Quantity]]</f>
        <v>99570</v>
      </c>
      <c r="L160" s="4">
        <f>Table1[[#This Row],[Revenue]]-(Table1[[#This Row],[Revenue]]*Table1[[#This Row],[Discount]]/100)</f>
        <v>76668.899999999994</v>
      </c>
    </row>
    <row r="161" spans="1:12" x14ac:dyDescent="0.55000000000000004">
      <c r="A161" t="s">
        <v>190</v>
      </c>
      <c r="B161" s="2">
        <v>44951</v>
      </c>
      <c r="C161" t="s">
        <v>24</v>
      </c>
      <c r="D161" t="s">
        <v>37</v>
      </c>
      <c r="E161" t="s">
        <v>17</v>
      </c>
      <c r="F161" t="s">
        <v>48</v>
      </c>
      <c r="G161">
        <v>12541</v>
      </c>
      <c r="H161">
        <v>6</v>
      </c>
      <c r="I161">
        <v>10</v>
      </c>
      <c r="J161" t="s">
        <v>22</v>
      </c>
      <c r="K161" s="4">
        <f>Table1[[#This Row],[Sales]]*Table1[[#This Row],[Quantity]]</f>
        <v>75246</v>
      </c>
      <c r="L161" s="4">
        <f>Table1[[#This Row],[Revenue]]-(Table1[[#This Row],[Revenue]]*Table1[[#This Row],[Discount]]/100)</f>
        <v>67721.399999999994</v>
      </c>
    </row>
    <row r="162" spans="1:12" x14ac:dyDescent="0.55000000000000004">
      <c r="A162" t="s">
        <v>191</v>
      </c>
      <c r="B162" s="2">
        <v>45103</v>
      </c>
      <c r="C162" t="s">
        <v>15</v>
      </c>
      <c r="D162" t="s">
        <v>37</v>
      </c>
      <c r="E162" t="s">
        <v>17</v>
      </c>
      <c r="F162" t="s">
        <v>44</v>
      </c>
      <c r="G162">
        <v>23051</v>
      </c>
      <c r="H162">
        <v>3</v>
      </c>
      <c r="I162">
        <v>1</v>
      </c>
      <c r="J162" t="s">
        <v>25</v>
      </c>
      <c r="K162" s="4">
        <f>Table1[[#This Row],[Sales]]*Table1[[#This Row],[Quantity]]</f>
        <v>69153</v>
      </c>
      <c r="L162" s="4">
        <f>Table1[[#This Row],[Revenue]]-(Table1[[#This Row],[Revenue]]*Table1[[#This Row],[Discount]]/100)</f>
        <v>68461.47</v>
      </c>
    </row>
    <row r="163" spans="1:12" x14ac:dyDescent="0.55000000000000004">
      <c r="A163" t="s">
        <v>192</v>
      </c>
      <c r="B163" s="2">
        <v>45031</v>
      </c>
      <c r="C163" t="s">
        <v>24</v>
      </c>
      <c r="D163" t="s">
        <v>37</v>
      </c>
      <c r="E163" t="s">
        <v>11</v>
      </c>
      <c r="F163" t="s">
        <v>48</v>
      </c>
      <c r="G163">
        <v>9844</v>
      </c>
      <c r="H163">
        <v>7</v>
      </c>
      <c r="I163">
        <v>20</v>
      </c>
      <c r="J163" t="s">
        <v>13</v>
      </c>
      <c r="K163" s="4">
        <f>Table1[[#This Row],[Sales]]*Table1[[#This Row],[Quantity]]</f>
        <v>68908</v>
      </c>
      <c r="L163" s="4">
        <f>Table1[[#This Row],[Revenue]]-(Table1[[#This Row],[Revenue]]*Table1[[#This Row],[Discount]]/100)</f>
        <v>55126.400000000001</v>
      </c>
    </row>
    <row r="164" spans="1:12" x14ac:dyDescent="0.55000000000000004">
      <c r="A164" t="s">
        <v>193</v>
      </c>
      <c r="B164" s="2">
        <v>44952</v>
      </c>
      <c r="C164" t="s">
        <v>24</v>
      </c>
      <c r="D164" t="s">
        <v>16</v>
      </c>
      <c r="E164" t="s">
        <v>17</v>
      </c>
      <c r="F164" t="s">
        <v>29</v>
      </c>
      <c r="G164">
        <v>1050</v>
      </c>
      <c r="H164">
        <v>1</v>
      </c>
      <c r="I164">
        <v>25</v>
      </c>
      <c r="J164" t="s">
        <v>13</v>
      </c>
      <c r="K164" s="4">
        <f>Table1[[#This Row],[Sales]]*Table1[[#This Row],[Quantity]]</f>
        <v>1050</v>
      </c>
      <c r="L164" s="4">
        <f>Table1[[#This Row],[Revenue]]-(Table1[[#This Row],[Revenue]]*Table1[[#This Row],[Discount]]/100)</f>
        <v>787.5</v>
      </c>
    </row>
    <row r="165" spans="1:12" x14ac:dyDescent="0.55000000000000004">
      <c r="A165" t="s">
        <v>194</v>
      </c>
      <c r="B165" s="2">
        <v>45123</v>
      </c>
      <c r="C165" t="s">
        <v>15</v>
      </c>
      <c r="D165" t="s">
        <v>37</v>
      </c>
      <c r="E165" t="s">
        <v>11</v>
      </c>
      <c r="F165" t="s">
        <v>34</v>
      </c>
      <c r="G165">
        <v>13577</v>
      </c>
      <c r="H165">
        <v>8</v>
      </c>
      <c r="I165">
        <v>26</v>
      </c>
      <c r="J165" t="s">
        <v>25</v>
      </c>
      <c r="K165" s="4">
        <f>Table1[[#This Row],[Sales]]*Table1[[#This Row],[Quantity]]</f>
        <v>108616</v>
      </c>
      <c r="L165" s="4">
        <f>Table1[[#This Row],[Revenue]]-(Table1[[#This Row],[Revenue]]*Table1[[#This Row],[Discount]]/100)</f>
        <v>80375.839999999997</v>
      </c>
    </row>
    <row r="166" spans="1:12" x14ac:dyDescent="0.55000000000000004">
      <c r="A166" t="s">
        <v>195</v>
      </c>
      <c r="B166" s="2">
        <v>45040</v>
      </c>
      <c r="C166" t="s">
        <v>19</v>
      </c>
      <c r="D166" t="s">
        <v>20</v>
      </c>
      <c r="E166" t="s">
        <v>17</v>
      </c>
      <c r="F166" t="s">
        <v>29</v>
      </c>
      <c r="G166">
        <v>21470</v>
      </c>
      <c r="H166">
        <v>3</v>
      </c>
      <c r="I166">
        <v>24</v>
      </c>
      <c r="J166" t="s">
        <v>22</v>
      </c>
      <c r="K166" s="4">
        <f>Table1[[#This Row],[Sales]]*Table1[[#This Row],[Quantity]]</f>
        <v>64410</v>
      </c>
      <c r="L166" s="4">
        <f>Table1[[#This Row],[Revenue]]-(Table1[[#This Row],[Revenue]]*Table1[[#This Row],[Discount]]/100)</f>
        <v>48951.6</v>
      </c>
    </row>
    <row r="167" spans="1:12" x14ac:dyDescent="0.55000000000000004">
      <c r="A167" t="s">
        <v>196</v>
      </c>
      <c r="B167" s="2">
        <v>44931</v>
      </c>
      <c r="C167" t="s">
        <v>24</v>
      </c>
      <c r="D167" t="s">
        <v>27</v>
      </c>
      <c r="E167" t="s">
        <v>11</v>
      </c>
      <c r="F167" t="s">
        <v>21</v>
      </c>
      <c r="G167">
        <v>28019</v>
      </c>
      <c r="H167">
        <v>3</v>
      </c>
      <c r="I167">
        <v>11</v>
      </c>
      <c r="J167" t="s">
        <v>25</v>
      </c>
      <c r="K167" s="4">
        <f>Table1[[#This Row],[Sales]]*Table1[[#This Row],[Quantity]]</f>
        <v>84057</v>
      </c>
      <c r="L167" s="4">
        <f>Table1[[#This Row],[Revenue]]-(Table1[[#This Row],[Revenue]]*Table1[[#This Row],[Discount]]/100)</f>
        <v>74810.73</v>
      </c>
    </row>
    <row r="168" spans="1:12" x14ac:dyDescent="0.55000000000000004">
      <c r="A168" t="s">
        <v>197</v>
      </c>
      <c r="B168" s="2">
        <v>45141</v>
      </c>
      <c r="C168" t="s">
        <v>24</v>
      </c>
      <c r="D168" t="s">
        <v>16</v>
      </c>
      <c r="E168" t="s">
        <v>11</v>
      </c>
      <c r="F168" t="s">
        <v>38</v>
      </c>
      <c r="G168">
        <v>31638</v>
      </c>
      <c r="H168">
        <v>2</v>
      </c>
      <c r="I168">
        <v>13</v>
      </c>
      <c r="J168" t="s">
        <v>22</v>
      </c>
      <c r="K168" s="4">
        <f>Table1[[#This Row],[Sales]]*Table1[[#This Row],[Quantity]]</f>
        <v>63276</v>
      </c>
      <c r="L168" s="4">
        <f>Table1[[#This Row],[Revenue]]-(Table1[[#This Row],[Revenue]]*Table1[[#This Row],[Discount]]/100)</f>
        <v>55050.12</v>
      </c>
    </row>
    <row r="169" spans="1:12" x14ac:dyDescent="0.55000000000000004">
      <c r="A169" t="s">
        <v>198</v>
      </c>
      <c r="B169" s="2">
        <v>45247</v>
      </c>
      <c r="C169" t="s">
        <v>19</v>
      </c>
      <c r="D169" t="s">
        <v>37</v>
      </c>
      <c r="E169" t="s">
        <v>11</v>
      </c>
      <c r="F169" t="s">
        <v>29</v>
      </c>
      <c r="G169">
        <v>41381</v>
      </c>
      <c r="H169">
        <v>1</v>
      </c>
      <c r="I169">
        <v>23</v>
      </c>
      <c r="J169" t="s">
        <v>13</v>
      </c>
      <c r="K169" s="4">
        <f>Table1[[#This Row],[Sales]]*Table1[[#This Row],[Quantity]]</f>
        <v>41381</v>
      </c>
      <c r="L169" s="4">
        <f>Table1[[#This Row],[Revenue]]-(Table1[[#This Row],[Revenue]]*Table1[[#This Row],[Discount]]/100)</f>
        <v>31863.370000000003</v>
      </c>
    </row>
    <row r="170" spans="1:12" x14ac:dyDescent="0.55000000000000004">
      <c r="A170" t="s">
        <v>199</v>
      </c>
      <c r="B170" s="2">
        <v>45065</v>
      </c>
      <c r="C170" t="s">
        <v>31</v>
      </c>
      <c r="D170" t="s">
        <v>27</v>
      </c>
      <c r="E170" t="s">
        <v>11</v>
      </c>
      <c r="F170" t="s">
        <v>29</v>
      </c>
      <c r="G170">
        <v>14952</v>
      </c>
      <c r="H170">
        <v>9</v>
      </c>
      <c r="I170">
        <v>4</v>
      </c>
      <c r="J170" t="s">
        <v>22</v>
      </c>
      <c r="K170" s="4">
        <f>Table1[[#This Row],[Sales]]*Table1[[#This Row],[Quantity]]</f>
        <v>134568</v>
      </c>
      <c r="L170" s="4">
        <f>Table1[[#This Row],[Revenue]]-(Table1[[#This Row],[Revenue]]*Table1[[#This Row],[Discount]]/100)</f>
        <v>129185.28</v>
      </c>
    </row>
    <row r="171" spans="1:12" x14ac:dyDescent="0.55000000000000004">
      <c r="A171" t="s">
        <v>200</v>
      </c>
      <c r="B171" s="2">
        <v>45003</v>
      </c>
      <c r="C171" t="s">
        <v>19</v>
      </c>
      <c r="D171" t="s">
        <v>37</v>
      </c>
      <c r="E171" t="s">
        <v>11</v>
      </c>
      <c r="F171" t="s">
        <v>38</v>
      </c>
      <c r="G171">
        <v>12737</v>
      </c>
      <c r="H171">
        <v>7</v>
      </c>
      <c r="I171">
        <v>3</v>
      </c>
      <c r="J171" t="s">
        <v>22</v>
      </c>
      <c r="K171" s="4">
        <f>Table1[[#This Row],[Sales]]*Table1[[#This Row],[Quantity]]</f>
        <v>89159</v>
      </c>
      <c r="L171" s="4">
        <f>Table1[[#This Row],[Revenue]]-(Table1[[#This Row],[Revenue]]*Table1[[#This Row],[Discount]]/100)</f>
        <v>86484.23</v>
      </c>
    </row>
    <row r="172" spans="1:12" x14ac:dyDescent="0.55000000000000004">
      <c r="A172" t="s">
        <v>201</v>
      </c>
      <c r="B172" s="2">
        <v>45207</v>
      </c>
      <c r="C172" t="s">
        <v>15</v>
      </c>
      <c r="D172" t="s">
        <v>37</v>
      </c>
      <c r="E172" t="s">
        <v>11</v>
      </c>
      <c r="F172" t="s">
        <v>34</v>
      </c>
      <c r="G172">
        <v>22971</v>
      </c>
      <c r="H172">
        <v>1</v>
      </c>
      <c r="I172">
        <v>24</v>
      </c>
      <c r="J172" t="s">
        <v>22</v>
      </c>
      <c r="K172" s="4">
        <f>Table1[[#This Row],[Sales]]*Table1[[#This Row],[Quantity]]</f>
        <v>22971</v>
      </c>
      <c r="L172" s="4">
        <f>Table1[[#This Row],[Revenue]]-(Table1[[#This Row],[Revenue]]*Table1[[#This Row],[Discount]]/100)</f>
        <v>17457.96</v>
      </c>
    </row>
    <row r="173" spans="1:12" x14ac:dyDescent="0.55000000000000004">
      <c r="A173" t="s">
        <v>202</v>
      </c>
      <c r="B173" s="2">
        <v>45135</v>
      </c>
      <c r="C173" t="s">
        <v>31</v>
      </c>
      <c r="D173" t="s">
        <v>16</v>
      </c>
      <c r="E173" t="s">
        <v>17</v>
      </c>
      <c r="F173" t="s">
        <v>21</v>
      </c>
      <c r="G173">
        <v>28398</v>
      </c>
      <c r="H173">
        <v>1</v>
      </c>
      <c r="I173">
        <v>21</v>
      </c>
      <c r="J173" t="s">
        <v>13</v>
      </c>
      <c r="K173" s="4">
        <f>Table1[[#This Row],[Sales]]*Table1[[#This Row],[Quantity]]</f>
        <v>28398</v>
      </c>
      <c r="L173" s="4">
        <f>Table1[[#This Row],[Revenue]]-(Table1[[#This Row],[Revenue]]*Table1[[#This Row],[Discount]]/100)</f>
        <v>22434.42</v>
      </c>
    </row>
    <row r="174" spans="1:12" x14ac:dyDescent="0.55000000000000004">
      <c r="A174" t="s">
        <v>203</v>
      </c>
      <c r="B174" s="2">
        <v>45169</v>
      </c>
      <c r="C174" t="s">
        <v>15</v>
      </c>
      <c r="D174" t="s">
        <v>20</v>
      </c>
      <c r="E174" t="s">
        <v>17</v>
      </c>
      <c r="F174" t="s">
        <v>38</v>
      </c>
      <c r="G174">
        <v>49120</v>
      </c>
      <c r="H174">
        <v>8</v>
      </c>
      <c r="I174">
        <v>29</v>
      </c>
      <c r="J174" t="s">
        <v>22</v>
      </c>
      <c r="K174" s="4">
        <f>Table1[[#This Row],[Sales]]*Table1[[#This Row],[Quantity]]</f>
        <v>392960</v>
      </c>
      <c r="L174" s="4">
        <f>Table1[[#This Row],[Revenue]]-(Table1[[#This Row],[Revenue]]*Table1[[#This Row],[Discount]]/100)</f>
        <v>279001.59999999998</v>
      </c>
    </row>
    <row r="175" spans="1:12" x14ac:dyDescent="0.55000000000000004">
      <c r="A175" t="s">
        <v>204</v>
      </c>
      <c r="B175" s="2">
        <v>45096</v>
      </c>
      <c r="C175" t="s">
        <v>24</v>
      </c>
      <c r="D175" t="s">
        <v>37</v>
      </c>
      <c r="E175" t="s">
        <v>11</v>
      </c>
      <c r="F175" t="s">
        <v>21</v>
      </c>
      <c r="G175">
        <v>2452</v>
      </c>
      <c r="H175">
        <v>1</v>
      </c>
      <c r="I175">
        <v>29</v>
      </c>
      <c r="J175" t="s">
        <v>22</v>
      </c>
      <c r="K175" s="4">
        <f>Table1[[#This Row],[Sales]]*Table1[[#This Row],[Quantity]]</f>
        <v>2452</v>
      </c>
      <c r="L175" s="4">
        <f>Table1[[#This Row],[Revenue]]-(Table1[[#This Row],[Revenue]]*Table1[[#This Row],[Discount]]/100)</f>
        <v>1740.92</v>
      </c>
    </row>
    <row r="176" spans="1:12" x14ac:dyDescent="0.55000000000000004">
      <c r="A176" t="s">
        <v>205</v>
      </c>
      <c r="B176" s="2">
        <v>45263</v>
      </c>
      <c r="C176" t="s">
        <v>31</v>
      </c>
      <c r="D176" t="s">
        <v>46</v>
      </c>
      <c r="E176" t="s">
        <v>11</v>
      </c>
      <c r="F176" t="s">
        <v>34</v>
      </c>
      <c r="G176">
        <v>46188</v>
      </c>
      <c r="H176">
        <v>6</v>
      </c>
      <c r="I176">
        <v>8</v>
      </c>
      <c r="J176" t="s">
        <v>13</v>
      </c>
      <c r="K176" s="4">
        <f>Table1[[#This Row],[Sales]]*Table1[[#This Row],[Quantity]]</f>
        <v>277128</v>
      </c>
      <c r="L176" s="4">
        <f>Table1[[#This Row],[Revenue]]-(Table1[[#This Row],[Revenue]]*Table1[[#This Row],[Discount]]/100)</f>
        <v>254957.76</v>
      </c>
    </row>
    <row r="177" spans="1:12" x14ac:dyDescent="0.55000000000000004">
      <c r="A177" t="s">
        <v>206</v>
      </c>
      <c r="B177" s="2">
        <v>44967</v>
      </c>
      <c r="C177" t="s">
        <v>15</v>
      </c>
      <c r="D177" t="s">
        <v>27</v>
      </c>
      <c r="E177" t="s">
        <v>17</v>
      </c>
      <c r="F177" t="s">
        <v>48</v>
      </c>
      <c r="G177">
        <v>3619</v>
      </c>
      <c r="H177">
        <v>4</v>
      </c>
      <c r="I177">
        <v>16</v>
      </c>
      <c r="J177" t="s">
        <v>13</v>
      </c>
      <c r="K177" s="4">
        <f>Table1[[#This Row],[Sales]]*Table1[[#This Row],[Quantity]]</f>
        <v>14476</v>
      </c>
      <c r="L177" s="4">
        <f>Table1[[#This Row],[Revenue]]-(Table1[[#This Row],[Revenue]]*Table1[[#This Row],[Discount]]/100)</f>
        <v>12159.84</v>
      </c>
    </row>
    <row r="178" spans="1:12" x14ac:dyDescent="0.55000000000000004">
      <c r="A178" t="s">
        <v>207</v>
      </c>
      <c r="B178" s="2">
        <v>45212</v>
      </c>
      <c r="C178" t="s">
        <v>24</v>
      </c>
      <c r="D178" t="s">
        <v>20</v>
      </c>
      <c r="E178" t="s">
        <v>11</v>
      </c>
      <c r="F178" t="s">
        <v>21</v>
      </c>
      <c r="G178">
        <v>24873</v>
      </c>
      <c r="H178">
        <v>10</v>
      </c>
      <c r="I178">
        <v>22</v>
      </c>
      <c r="J178" t="s">
        <v>25</v>
      </c>
      <c r="K178" s="4">
        <f>Table1[[#This Row],[Sales]]*Table1[[#This Row],[Quantity]]</f>
        <v>248730</v>
      </c>
      <c r="L178" s="4">
        <f>Table1[[#This Row],[Revenue]]-(Table1[[#This Row],[Revenue]]*Table1[[#This Row],[Discount]]/100)</f>
        <v>194009.4</v>
      </c>
    </row>
    <row r="179" spans="1:12" x14ac:dyDescent="0.55000000000000004">
      <c r="A179" t="s">
        <v>208</v>
      </c>
      <c r="B179" s="2">
        <v>45084</v>
      </c>
      <c r="C179" t="s">
        <v>31</v>
      </c>
      <c r="D179" t="s">
        <v>27</v>
      </c>
      <c r="E179" t="s">
        <v>17</v>
      </c>
      <c r="F179" t="s">
        <v>38</v>
      </c>
      <c r="G179">
        <v>47479</v>
      </c>
      <c r="H179">
        <v>4</v>
      </c>
      <c r="I179">
        <v>30</v>
      </c>
      <c r="J179" t="s">
        <v>13</v>
      </c>
      <c r="K179" s="4">
        <f>Table1[[#This Row],[Sales]]*Table1[[#This Row],[Quantity]]</f>
        <v>189916</v>
      </c>
      <c r="L179" s="4">
        <f>Table1[[#This Row],[Revenue]]-(Table1[[#This Row],[Revenue]]*Table1[[#This Row],[Discount]]/100)</f>
        <v>132941.20000000001</v>
      </c>
    </row>
    <row r="180" spans="1:12" x14ac:dyDescent="0.55000000000000004">
      <c r="A180" t="s">
        <v>209</v>
      </c>
      <c r="B180" s="2">
        <v>45242</v>
      </c>
      <c r="C180" t="s">
        <v>24</v>
      </c>
      <c r="D180" t="s">
        <v>27</v>
      </c>
      <c r="E180" t="s">
        <v>11</v>
      </c>
      <c r="F180" t="s">
        <v>12</v>
      </c>
      <c r="G180">
        <v>41361</v>
      </c>
      <c r="H180">
        <v>6</v>
      </c>
      <c r="I180">
        <v>0</v>
      </c>
      <c r="J180" t="s">
        <v>25</v>
      </c>
      <c r="K180" s="4">
        <f>Table1[[#This Row],[Sales]]*Table1[[#This Row],[Quantity]]</f>
        <v>248166</v>
      </c>
      <c r="L180" s="4">
        <f>Table1[[#This Row],[Revenue]]-(Table1[[#This Row],[Revenue]]*Table1[[#This Row],[Discount]]/100)</f>
        <v>248166</v>
      </c>
    </row>
    <row r="181" spans="1:12" x14ac:dyDescent="0.55000000000000004">
      <c r="A181" t="s">
        <v>210</v>
      </c>
      <c r="B181" s="2">
        <v>45165</v>
      </c>
      <c r="C181" t="s">
        <v>24</v>
      </c>
      <c r="D181" t="s">
        <v>46</v>
      </c>
      <c r="E181" t="s">
        <v>17</v>
      </c>
      <c r="F181" t="s">
        <v>21</v>
      </c>
      <c r="G181">
        <v>10003</v>
      </c>
      <c r="H181">
        <v>1</v>
      </c>
      <c r="I181">
        <v>18</v>
      </c>
      <c r="J181" t="s">
        <v>25</v>
      </c>
      <c r="K181" s="4">
        <f>Table1[[#This Row],[Sales]]*Table1[[#This Row],[Quantity]]</f>
        <v>10003</v>
      </c>
      <c r="L181" s="4">
        <f>Table1[[#This Row],[Revenue]]-(Table1[[#This Row],[Revenue]]*Table1[[#This Row],[Discount]]/100)</f>
        <v>8202.4599999999991</v>
      </c>
    </row>
    <row r="182" spans="1:12" x14ac:dyDescent="0.55000000000000004">
      <c r="A182" t="s">
        <v>211</v>
      </c>
      <c r="B182" s="2">
        <v>45222</v>
      </c>
      <c r="C182" t="s">
        <v>24</v>
      </c>
      <c r="D182" t="s">
        <v>20</v>
      </c>
      <c r="E182" t="s">
        <v>11</v>
      </c>
      <c r="F182" t="s">
        <v>12</v>
      </c>
      <c r="G182">
        <v>27195</v>
      </c>
      <c r="H182">
        <v>2</v>
      </c>
      <c r="I182">
        <v>0</v>
      </c>
      <c r="J182" t="s">
        <v>22</v>
      </c>
      <c r="K182" s="4">
        <f>Table1[[#This Row],[Sales]]*Table1[[#This Row],[Quantity]]</f>
        <v>54390</v>
      </c>
      <c r="L182" s="4">
        <f>Table1[[#This Row],[Revenue]]-(Table1[[#This Row],[Revenue]]*Table1[[#This Row],[Discount]]/100)</f>
        <v>54390</v>
      </c>
    </row>
    <row r="183" spans="1:12" x14ac:dyDescent="0.55000000000000004">
      <c r="A183" t="s">
        <v>212</v>
      </c>
      <c r="B183" s="2">
        <v>45035</v>
      </c>
      <c r="C183" t="s">
        <v>15</v>
      </c>
      <c r="D183" t="s">
        <v>27</v>
      </c>
      <c r="E183" t="s">
        <v>11</v>
      </c>
      <c r="F183" t="s">
        <v>44</v>
      </c>
      <c r="G183">
        <v>15608</v>
      </c>
      <c r="H183">
        <v>4</v>
      </c>
      <c r="I183">
        <v>23</v>
      </c>
      <c r="J183" t="s">
        <v>13</v>
      </c>
      <c r="K183" s="4">
        <f>Table1[[#This Row],[Sales]]*Table1[[#This Row],[Quantity]]</f>
        <v>62432</v>
      </c>
      <c r="L183" s="4">
        <f>Table1[[#This Row],[Revenue]]-(Table1[[#This Row],[Revenue]]*Table1[[#This Row],[Discount]]/100)</f>
        <v>48072.639999999999</v>
      </c>
    </row>
    <row r="184" spans="1:12" x14ac:dyDescent="0.55000000000000004">
      <c r="A184" t="s">
        <v>213</v>
      </c>
      <c r="B184" s="2">
        <v>45130</v>
      </c>
      <c r="C184" t="s">
        <v>24</v>
      </c>
      <c r="D184" t="s">
        <v>20</v>
      </c>
      <c r="E184" t="s">
        <v>17</v>
      </c>
      <c r="F184" t="s">
        <v>38</v>
      </c>
      <c r="G184">
        <v>6624</v>
      </c>
      <c r="H184">
        <v>4</v>
      </c>
      <c r="I184">
        <v>10</v>
      </c>
      <c r="J184" t="s">
        <v>25</v>
      </c>
      <c r="K184" s="4">
        <f>Table1[[#This Row],[Sales]]*Table1[[#This Row],[Quantity]]</f>
        <v>26496</v>
      </c>
      <c r="L184" s="4">
        <f>Table1[[#This Row],[Revenue]]-(Table1[[#This Row],[Revenue]]*Table1[[#This Row],[Discount]]/100)</f>
        <v>23846.400000000001</v>
      </c>
    </row>
    <row r="185" spans="1:12" x14ac:dyDescent="0.55000000000000004">
      <c r="A185" t="s">
        <v>214</v>
      </c>
      <c r="B185" s="2">
        <v>44932</v>
      </c>
      <c r="C185" t="s">
        <v>31</v>
      </c>
      <c r="D185" t="s">
        <v>46</v>
      </c>
      <c r="E185" t="s">
        <v>17</v>
      </c>
      <c r="F185" t="s">
        <v>44</v>
      </c>
      <c r="G185">
        <v>7746</v>
      </c>
      <c r="H185">
        <v>8</v>
      </c>
      <c r="I185">
        <v>10</v>
      </c>
      <c r="J185" t="s">
        <v>25</v>
      </c>
      <c r="K185" s="4">
        <f>Table1[[#This Row],[Sales]]*Table1[[#This Row],[Quantity]]</f>
        <v>61968</v>
      </c>
      <c r="L185" s="4">
        <f>Table1[[#This Row],[Revenue]]-(Table1[[#This Row],[Revenue]]*Table1[[#This Row],[Discount]]/100)</f>
        <v>55771.199999999997</v>
      </c>
    </row>
    <row r="186" spans="1:12" x14ac:dyDescent="0.55000000000000004">
      <c r="A186" t="s">
        <v>215</v>
      </c>
      <c r="B186" s="2">
        <v>45028</v>
      </c>
      <c r="C186" t="s">
        <v>19</v>
      </c>
      <c r="D186" t="s">
        <v>37</v>
      </c>
      <c r="E186" t="s">
        <v>11</v>
      </c>
      <c r="F186" t="s">
        <v>21</v>
      </c>
      <c r="G186">
        <v>41536</v>
      </c>
      <c r="H186">
        <v>7</v>
      </c>
      <c r="I186">
        <v>9</v>
      </c>
      <c r="J186" t="s">
        <v>13</v>
      </c>
      <c r="K186" s="4">
        <f>Table1[[#This Row],[Sales]]*Table1[[#This Row],[Quantity]]</f>
        <v>290752</v>
      </c>
      <c r="L186" s="4">
        <f>Table1[[#This Row],[Revenue]]-(Table1[[#This Row],[Revenue]]*Table1[[#This Row],[Discount]]/100)</f>
        <v>264584.32000000001</v>
      </c>
    </row>
    <row r="187" spans="1:12" x14ac:dyDescent="0.55000000000000004">
      <c r="A187" t="s">
        <v>216</v>
      </c>
      <c r="B187" s="2">
        <v>44989</v>
      </c>
      <c r="C187" t="s">
        <v>24</v>
      </c>
      <c r="D187" t="s">
        <v>37</v>
      </c>
      <c r="E187" t="s">
        <v>11</v>
      </c>
      <c r="F187" t="s">
        <v>44</v>
      </c>
      <c r="G187">
        <v>23255</v>
      </c>
      <c r="H187">
        <v>10</v>
      </c>
      <c r="I187">
        <v>12</v>
      </c>
      <c r="J187" t="s">
        <v>25</v>
      </c>
      <c r="K187" s="4">
        <f>Table1[[#This Row],[Sales]]*Table1[[#This Row],[Quantity]]</f>
        <v>232550</v>
      </c>
      <c r="L187" s="4">
        <f>Table1[[#This Row],[Revenue]]-(Table1[[#This Row],[Revenue]]*Table1[[#This Row],[Discount]]/100)</f>
        <v>204644</v>
      </c>
    </row>
    <row r="188" spans="1:12" x14ac:dyDescent="0.55000000000000004">
      <c r="A188" t="s">
        <v>217</v>
      </c>
      <c r="B188" s="2">
        <v>45068</v>
      </c>
      <c r="C188" t="s">
        <v>19</v>
      </c>
      <c r="D188" t="s">
        <v>37</v>
      </c>
      <c r="E188" t="s">
        <v>17</v>
      </c>
      <c r="F188" t="s">
        <v>12</v>
      </c>
      <c r="G188">
        <v>32626</v>
      </c>
      <c r="H188">
        <v>7</v>
      </c>
      <c r="I188">
        <v>7</v>
      </c>
      <c r="J188" t="s">
        <v>13</v>
      </c>
      <c r="K188" s="4">
        <f>Table1[[#This Row],[Sales]]*Table1[[#This Row],[Quantity]]</f>
        <v>228382</v>
      </c>
      <c r="L188" s="4">
        <f>Table1[[#This Row],[Revenue]]-(Table1[[#This Row],[Revenue]]*Table1[[#This Row],[Discount]]/100)</f>
        <v>212395.26</v>
      </c>
    </row>
    <row r="189" spans="1:12" x14ac:dyDescent="0.55000000000000004">
      <c r="A189" t="s">
        <v>218</v>
      </c>
      <c r="B189" s="2">
        <v>45067</v>
      </c>
      <c r="C189" t="s">
        <v>31</v>
      </c>
      <c r="D189" t="s">
        <v>46</v>
      </c>
      <c r="E189" t="s">
        <v>11</v>
      </c>
      <c r="F189" t="s">
        <v>48</v>
      </c>
      <c r="G189">
        <v>49596</v>
      </c>
      <c r="H189">
        <v>6</v>
      </c>
      <c r="I189">
        <v>25</v>
      </c>
      <c r="J189" t="s">
        <v>25</v>
      </c>
      <c r="K189" s="4">
        <f>Table1[[#This Row],[Sales]]*Table1[[#This Row],[Quantity]]</f>
        <v>297576</v>
      </c>
      <c r="L189" s="4">
        <f>Table1[[#This Row],[Revenue]]-(Table1[[#This Row],[Revenue]]*Table1[[#This Row],[Discount]]/100)</f>
        <v>223182</v>
      </c>
    </row>
    <row r="190" spans="1:12" x14ac:dyDescent="0.55000000000000004">
      <c r="A190" t="s">
        <v>219</v>
      </c>
      <c r="B190" s="2">
        <v>45146</v>
      </c>
      <c r="C190" t="s">
        <v>31</v>
      </c>
      <c r="D190" t="s">
        <v>27</v>
      </c>
      <c r="E190" t="s">
        <v>11</v>
      </c>
      <c r="F190" t="s">
        <v>44</v>
      </c>
      <c r="G190">
        <v>1824</v>
      </c>
      <c r="H190">
        <v>5</v>
      </c>
      <c r="I190">
        <v>19</v>
      </c>
      <c r="J190" t="s">
        <v>22</v>
      </c>
      <c r="K190" s="4">
        <f>Table1[[#This Row],[Sales]]*Table1[[#This Row],[Quantity]]</f>
        <v>9120</v>
      </c>
      <c r="L190" s="4">
        <f>Table1[[#This Row],[Revenue]]-(Table1[[#This Row],[Revenue]]*Table1[[#This Row],[Discount]]/100)</f>
        <v>7387.2</v>
      </c>
    </row>
    <row r="191" spans="1:12" x14ac:dyDescent="0.55000000000000004">
      <c r="A191" t="s">
        <v>220</v>
      </c>
      <c r="B191" s="2">
        <v>45013</v>
      </c>
      <c r="C191" t="s">
        <v>31</v>
      </c>
      <c r="D191" t="s">
        <v>37</v>
      </c>
      <c r="E191" t="s">
        <v>17</v>
      </c>
      <c r="F191" t="s">
        <v>44</v>
      </c>
      <c r="G191">
        <v>22566</v>
      </c>
      <c r="H191">
        <v>10</v>
      </c>
      <c r="I191">
        <v>4</v>
      </c>
      <c r="J191" t="s">
        <v>13</v>
      </c>
      <c r="K191" s="4">
        <f>Table1[[#This Row],[Sales]]*Table1[[#This Row],[Quantity]]</f>
        <v>225660</v>
      </c>
      <c r="L191" s="4">
        <f>Table1[[#This Row],[Revenue]]-(Table1[[#This Row],[Revenue]]*Table1[[#This Row],[Discount]]/100)</f>
        <v>216633.60000000001</v>
      </c>
    </row>
    <row r="192" spans="1:12" x14ac:dyDescent="0.55000000000000004">
      <c r="A192" t="s">
        <v>221</v>
      </c>
      <c r="B192" s="2">
        <v>45104</v>
      </c>
      <c r="C192" t="s">
        <v>15</v>
      </c>
      <c r="D192" t="s">
        <v>37</v>
      </c>
      <c r="E192" t="s">
        <v>11</v>
      </c>
      <c r="F192" t="s">
        <v>29</v>
      </c>
      <c r="G192">
        <v>14015</v>
      </c>
      <c r="H192">
        <v>3</v>
      </c>
      <c r="I192">
        <v>11</v>
      </c>
      <c r="J192" t="s">
        <v>22</v>
      </c>
      <c r="K192" s="4">
        <f>Table1[[#This Row],[Sales]]*Table1[[#This Row],[Quantity]]</f>
        <v>42045</v>
      </c>
      <c r="L192" s="4">
        <f>Table1[[#This Row],[Revenue]]-(Table1[[#This Row],[Revenue]]*Table1[[#This Row],[Discount]]/100)</f>
        <v>37420.050000000003</v>
      </c>
    </row>
    <row r="193" spans="1:12" x14ac:dyDescent="0.55000000000000004">
      <c r="A193" t="s">
        <v>222</v>
      </c>
      <c r="B193" s="2">
        <v>45268</v>
      </c>
      <c r="C193" t="s">
        <v>15</v>
      </c>
      <c r="D193" t="s">
        <v>20</v>
      </c>
      <c r="E193" t="s">
        <v>17</v>
      </c>
      <c r="F193" t="s">
        <v>38</v>
      </c>
      <c r="G193">
        <v>31796</v>
      </c>
      <c r="H193">
        <v>5</v>
      </c>
      <c r="I193">
        <v>24</v>
      </c>
      <c r="J193" t="s">
        <v>13</v>
      </c>
      <c r="K193" s="4">
        <f>Table1[[#This Row],[Sales]]*Table1[[#This Row],[Quantity]]</f>
        <v>158980</v>
      </c>
      <c r="L193" s="4">
        <f>Table1[[#This Row],[Revenue]]-(Table1[[#This Row],[Revenue]]*Table1[[#This Row],[Discount]]/100)</f>
        <v>120824.8</v>
      </c>
    </row>
    <row r="194" spans="1:12" x14ac:dyDescent="0.55000000000000004">
      <c r="A194" t="s">
        <v>223</v>
      </c>
      <c r="B194" s="2">
        <v>45052</v>
      </c>
      <c r="C194" t="s">
        <v>24</v>
      </c>
      <c r="D194" t="s">
        <v>37</v>
      </c>
      <c r="E194" t="s">
        <v>17</v>
      </c>
      <c r="F194" t="s">
        <v>21</v>
      </c>
      <c r="G194">
        <v>26230</v>
      </c>
      <c r="H194">
        <v>5</v>
      </c>
      <c r="I194">
        <v>0</v>
      </c>
      <c r="J194" t="s">
        <v>13</v>
      </c>
      <c r="K194" s="4">
        <f>Table1[[#This Row],[Sales]]*Table1[[#This Row],[Quantity]]</f>
        <v>131150</v>
      </c>
      <c r="L194" s="4">
        <f>Table1[[#This Row],[Revenue]]-(Table1[[#This Row],[Revenue]]*Table1[[#This Row],[Discount]]/100)</f>
        <v>131150</v>
      </c>
    </row>
    <row r="195" spans="1:12" x14ac:dyDescent="0.55000000000000004">
      <c r="A195" t="s">
        <v>224</v>
      </c>
      <c r="B195" s="2">
        <v>45148</v>
      </c>
      <c r="C195" t="s">
        <v>15</v>
      </c>
      <c r="D195" t="s">
        <v>16</v>
      </c>
      <c r="E195" t="s">
        <v>17</v>
      </c>
      <c r="F195" t="s">
        <v>21</v>
      </c>
      <c r="G195">
        <v>13336</v>
      </c>
      <c r="H195">
        <v>7</v>
      </c>
      <c r="I195">
        <v>14</v>
      </c>
      <c r="J195" t="s">
        <v>22</v>
      </c>
      <c r="K195" s="4">
        <f>Table1[[#This Row],[Sales]]*Table1[[#This Row],[Quantity]]</f>
        <v>93352</v>
      </c>
      <c r="L195" s="4">
        <f>Table1[[#This Row],[Revenue]]-(Table1[[#This Row],[Revenue]]*Table1[[#This Row],[Discount]]/100)</f>
        <v>80282.720000000001</v>
      </c>
    </row>
    <row r="196" spans="1:12" x14ac:dyDescent="0.55000000000000004">
      <c r="A196" t="s">
        <v>225</v>
      </c>
      <c r="B196" s="2">
        <v>44953</v>
      </c>
      <c r="C196" t="s">
        <v>19</v>
      </c>
      <c r="D196" t="s">
        <v>27</v>
      </c>
      <c r="E196" t="s">
        <v>17</v>
      </c>
      <c r="F196" t="s">
        <v>12</v>
      </c>
      <c r="G196">
        <v>46977</v>
      </c>
      <c r="H196">
        <v>10</v>
      </c>
      <c r="I196">
        <v>0</v>
      </c>
      <c r="J196" t="s">
        <v>25</v>
      </c>
      <c r="K196" s="4">
        <f>Table1[[#This Row],[Sales]]*Table1[[#This Row],[Quantity]]</f>
        <v>469770</v>
      </c>
      <c r="L196" s="4">
        <f>Table1[[#This Row],[Revenue]]-(Table1[[#This Row],[Revenue]]*Table1[[#This Row],[Discount]]/100)</f>
        <v>469770</v>
      </c>
    </row>
    <row r="197" spans="1:12" x14ac:dyDescent="0.55000000000000004">
      <c r="A197" t="s">
        <v>226</v>
      </c>
      <c r="B197" s="2">
        <v>45282</v>
      </c>
      <c r="C197" t="s">
        <v>15</v>
      </c>
      <c r="D197" t="s">
        <v>20</v>
      </c>
      <c r="E197" t="s">
        <v>17</v>
      </c>
      <c r="F197" t="s">
        <v>21</v>
      </c>
      <c r="G197">
        <v>40780</v>
      </c>
      <c r="H197">
        <v>8</v>
      </c>
      <c r="I197">
        <v>14</v>
      </c>
      <c r="J197" t="s">
        <v>13</v>
      </c>
      <c r="K197" s="4">
        <f>Table1[[#This Row],[Sales]]*Table1[[#This Row],[Quantity]]</f>
        <v>326240</v>
      </c>
      <c r="L197" s="4">
        <f>Table1[[#This Row],[Revenue]]-(Table1[[#This Row],[Revenue]]*Table1[[#This Row],[Discount]]/100)</f>
        <v>280566.40000000002</v>
      </c>
    </row>
    <row r="198" spans="1:12" x14ac:dyDescent="0.55000000000000004">
      <c r="A198" t="s">
        <v>227</v>
      </c>
      <c r="B198" s="2">
        <v>45151</v>
      </c>
      <c r="C198" t="s">
        <v>15</v>
      </c>
      <c r="D198" t="s">
        <v>37</v>
      </c>
      <c r="E198" t="s">
        <v>11</v>
      </c>
      <c r="F198" t="s">
        <v>48</v>
      </c>
      <c r="G198">
        <v>13466</v>
      </c>
      <c r="H198">
        <v>10</v>
      </c>
      <c r="I198">
        <v>30</v>
      </c>
      <c r="J198" t="s">
        <v>25</v>
      </c>
      <c r="K198" s="4">
        <f>Table1[[#This Row],[Sales]]*Table1[[#This Row],[Quantity]]</f>
        <v>134660</v>
      </c>
      <c r="L198" s="4">
        <f>Table1[[#This Row],[Revenue]]-(Table1[[#This Row],[Revenue]]*Table1[[#This Row],[Discount]]/100)</f>
        <v>94262</v>
      </c>
    </row>
    <row r="199" spans="1:12" x14ac:dyDescent="0.55000000000000004">
      <c r="A199" t="s">
        <v>228</v>
      </c>
      <c r="B199" s="2">
        <v>45131</v>
      </c>
      <c r="C199" t="s">
        <v>31</v>
      </c>
      <c r="D199" t="s">
        <v>46</v>
      </c>
      <c r="E199" t="s">
        <v>11</v>
      </c>
      <c r="F199" t="s">
        <v>21</v>
      </c>
      <c r="G199">
        <v>14611</v>
      </c>
      <c r="H199">
        <v>10</v>
      </c>
      <c r="I199">
        <v>14</v>
      </c>
      <c r="J199" t="s">
        <v>25</v>
      </c>
      <c r="K199" s="4">
        <f>Table1[[#This Row],[Sales]]*Table1[[#This Row],[Quantity]]</f>
        <v>146110</v>
      </c>
      <c r="L199" s="4">
        <f>Table1[[#This Row],[Revenue]]-(Table1[[#This Row],[Revenue]]*Table1[[#This Row],[Discount]]/100)</f>
        <v>125654.6</v>
      </c>
    </row>
    <row r="200" spans="1:12" x14ac:dyDescent="0.55000000000000004">
      <c r="A200" t="s">
        <v>229</v>
      </c>
      <c r="B200" s="2">
        <v>45198</v>
      </c>
      <c r="C200" t="s">
        <v>15</v>
      </c>
      <c r="D200" t="s">
        <v>46</v>
      </c>
      <c r="E200" t="s">
        <v>17</v>
      </c>
      <c r="F200" t="s">
        <v>48</v>
      </c>
      <c r="G200">
        <v>22321</v>
      </c>
      <c r="H200">
        <v>4</v>
      </c>
      <c r="I200">
        <v>11</v>
      </c>
      <c r="J200" t="s">
        <v>22</v>
      </c>
      <c r="K200" s="4">
        <f>Table1[[#This Row],[Sales]]*Table1[[#This Row],[Quantity]]</f>
        <v>89284</v>
      </c>
      <c r="L200" s="4">
        <f>Table1[[#This Row],[Revenue]]-(Table1[[#This Row],[Revenue]]*Table1[[#This Row],[Discount]]/100)</f>
        <v>79462.759999999995</v>
      </c>
    </row>
    <row r="201" spans="1:12" x14ac:dyDescent="0.55000000000000004">
      <c r="A201" t="s">
        <v>230</v>
      </c>
      <c r="B201" s="2">
        <v>45234</v>
      </c>
      <c r="C201" t="s">
        <v>31</v>
      </c>
      <c r="D201" t="s">
        <v>27</v>
      </c>
      <c r="E201" t="s">
        <v>17</v>
      </c>
      <c r="F201" t="s">
        <v>34</v>
      </c>
      <c r="G201">
        <v>48542</v>
      </c>
      <c r="H201">
        <v>1</v>
      </c>
      <c r="I201">
        <v>4</v>
      </c>
      <c r="J201" t="s">
        <v>13</v>
      </c>
      <c r="K201" s="4">
        <f>Table1[[#This Row],[Sales]]*Table1[[#This Row],[Quantity]]</f>
        <v>48542</v>
      </c>
      <c r="L201" s="4">
        <f>Table1[[#This Row],[Revenue]]-(Table1[[#This Row],[Revenue]]*Table1[[#This Row],[Discount]]/100)</f>
        <v>46600.32</v>
      </c>
    </row>
    <row r="202" spans="1:12" x14ac:dyDescent="0.55000000000000004">
      <c r="A202" t="s">
        <v>231</v>
      </c>
      <c r="B202" s="2">
        <v>44935</v>
      </c>
      <c r="C202" t="s">
        <v>24</v>
      </c>
      <c r="D202" t="s">
        <v>37</v>
      </c>
      <c r="E202" t="s">
        <v>17</v>
      </c>
      <c r="F202" t="s">
        <v>29</v>
      </c>
      <c r="G202">
        <v>12701</v>
      </c>
      <c r="H202">
        <v>3</v>
      </c>
      <c r="I202">
        <v>7</v>
      </c>
      <c r="J202" t="s">
        <v>25</v>
      </c>
      <c r="K202" s="4">
        <f>Table1[[#This Row],[Sales]]*Table1[[#This Row],[Quantity]]</f>
        <v>38103</v>
      </c>
      <c r="L202" s="4">
        <f>Table1[[#This Row],[Revenue]]-(Table1[[#This Row],[Revenue]]*Table1[[#This Row],[Discount]]/100)</f>
        <v>35435.79</v>
      </c>
    </row>
    <row r="203" spans="1:12" x14ac:dyDescent="0.55000000000000004">
      <c r="A203" t="s">
        <v>232</v>
      </c>
      <c r="B203" s="2">
        <v>45141</v>
      </c>
      <c r="C203" t="s">
        <v>19</v>
      </c>
      <c r="D203" t="s">
        <v>27</v>
      </c>
      <c r="E203" t="s">
        <v>11</v>
      </c>
      <c r="F203" t="s">
        <v>29</v>
      </c>
      <c r="G203">
        <v>43023</v>
      </c>
      <c r="H203">
        <v>6</v>
      </c>
      <c r="I203">
        <v>30</v>
      </c>
      <c r="J203" t="s">
        <v>13</v>
      </c>
      <c r="K203" s="4">
        <f>Table1[[#This Row],[Sales]]*Table1[[#This Row],[Quantity]]</f>
        <v>258138</v>
      </c>
      <c r="L203" s="4">
        <f>Table1[[#This Row],[Revenue]]-(Table1[[#This Row],[Revenue]]*Table1[[#This Row],[Discount]]/100)</f>
        <v>180696.6</v>
      </c>
    </row>
    <row r="204" spans="1:12" x14ac:dyDescent="0.55000000000000004">
      <c r="A204" t="s">
        <v>233</v>
      </c>
      <c r="B204" s="2">
        <v>45001</v>
      </c>
      <c r="C204" t="s">
        <v>31</v>
      </c>
      <c r="D204" t="s">
        <v>37</v>
      </c>
      <c r="E204" t="s">
        <v>11</v>
      </c>
      <c r="F204" t="s">
        <v>38</v>
      </c>
      <c r="G204">
        <v>26945</v>
      </c>
      <c r="H204">
        <v>2</v>
      </c>
      <c r="I204">
        <v>1</v>
      </c>
      <c r="J204" t="s">
        <v>25</v>
      </c>
      <c r="K204" s="4">
        <f>Table1[[#This Row],[Sales]]*Table1[[#This Row],[Quantity]]</f>
        <v>53890</v>
      </c>
      <c r="L204" s="4">
        <f>Table1[[#This Row],[Revenue]]-(Table1[[#This Row],[Revenue]]*Table1[[#This Row],[Discount]]/100)</f>
        <v>53351.1</v>
      </c>
    </row>
    <row r="205" spans="1:12" x14ac:dyDescent="0.55000000000000004">
      <c r="A205" t="s">
        <v>234</v>
      </c>
      <c r="B205" s="2">
        <v>45145</v>
      </c>
      <c r="C205" t="s">
        <v>24</v>
      </c>
      <c r="D205" t="s">
        <v>20</v>
      </c>
      <c r="E205" t="s">
        <v>17</v>
      </c>
      <c r="F205" t="s">
        <v>34</v>
      </c>
      <c r="G205">
        <v>6293</v>
      </c>
      <c r="H205">
        <v>5</v>
      </c>
      <c r="I205">
        <v>19</v>
      </c>
      <c r="J205" t="s">
        <v>25</v>
      </c>
      <c r="K205" s="4">
        <f>Table1[[#This Row],[Sales]]*Table1[[#This Row],[Quantity]]</f>
        <v>31465</v>
      </c>
      <c r="L205" s="4">
        <f>Table1[[#This Row],[Revenue]]-(Table1[[#This Row],[Revenue]]*Table1[[#This Row],[Discount]]/100)</f>
        <v>25486.65</v>
      </c>
    </row>
    <row r="206" spans="1:12" x14ac:dyDescent="0.55000000000000004">
      <c r="A206" t="s">
        <v>235</v>
      </c>
      <c r="B206" s="2">
        <v>45021</v>
      </c>
      <c r="C206" t="s">
        <v>15</v>
      </c>
      <c r="D206" t="s">
        <v>46</v>
      </c>
      <c r="E206" t="s">
        <v>17</v>
      </c>
      <c r="F206" t="s">
        <v>34</v>
      </c>
      <c r="G206">
        <v>46040</v>
      </c>
      <c r="H206">
        <v>5</v>
      </c>
      <c r="I206">
        <v>3</v>
      </c>
      <c r="J206" t="s">
        <v>13</v>
      </c>
      <c r="K206" s="4">
        <f>Table1[[#This Row],[Sales]]*Table1[[#This Row],[Quantity]]</f>
        <v>230200</v>
      </c>
      <c r="L206" s="4">
        <f>Table1[[#This Row],[Revenue]]-(Table1[[#This Row],[Revenue]]*Table1[[#This Row],[Discount]]/100)</f>
        <v>223294</v>
      </c>
    </row>
    <row r="207" spans="1:12" x14ac:dyDescent="0.55000000000000004">
      <c r="A207" t="s">
        <v>236</v>
      </c>
      <c r="B207" s="2">
        <v>45054</v>
      </c>
      <c r="C207" t="s">
        <v>19</v>
      </c>
      <c r="D207" t="s">
        <v>37</v>
      </c>
      <c r="E207" t="s">
        <v>17</v>
      </c>
      <c r="F207" t="s">
        <v>12</v>
      </c>
      <c r="G207">
        <v>19781</v>
      </c>
      <c r="H207">
        <v>10</v>
      </c>
      <c r="I207">
        <v>23</v>
      </c>
      <c r="J207" t="s">
        <v>25</v>
      </c>
      <c r="K207" s="4">
        <f>Table1[[#This Row],[Sales]]*Table1[[#This Row],[Quantity]]</f>
        <v>197810</v>
      </c>
      <c r="L207" s="4">
        <f>Table1[[#This Row],[Revenue]]-(Table1[[#This Row],[Revenue]]*Table1[[#This Row],[Discount]]/100)</f>
        <v>152313.70000000001</v>
      </c>
    </row>
    <row r="208" spans="1:12" x14ac:dyDescent="0.55000000000000004">
      <c r="A208" t="s">
        <v>237</v>
      </c>
      <c r="B208" s="2">
        <v>45035</v>
      </c>
      <c r="C208" t="s">
        <v>19</v>
      </c>
      <c r="D208" t="s">
        <v>20</v>
      </c>
      <c r="E208" t="s">
        <v>17</v>
      </c>
      <c r="F208" t="s">
        <v>12</v>
      </c>
      <c r="G208">
        <v>44216</v>
      </c>
      <c r="H208">
        <v>4</v>
      </c>
      <c r="I208">
        <v>15</v>
      </c>
      <c r="J208" t="s">
        <v>13</v>
      </c>
      <c r="K208" s="4">
        <f>Table1[[#This Row],[Sales]]*Table1[[#This Row],[Quantity]]</f>
        <v>176864</v>
      </c>
      <c r="L208" s="4">
        <f>Table1[[#This Row],[Revenue]]-(Table1[[#This Row],[Revenue]]*Table1[[#This Row],[Discount]]/100)</f>
        <v>150334.39999999999</v>
      </c>
    </row>
    <row r="209" spans="1:12" x14ac:dyDescent="0.55000000000000004">
      <c r="A209" t="s">
        <v>238</v>
      </c>
      <c r="B209" s="2">
        <v>45225</v>
      </c>
      <c r="C209" t="s">
        <v>19</v>
      </c>
      <c r="D209" t="s">
        <v>27</v>
      </c>
      <c r="E209" t="s">
        <v>11</v>
      </c>
      <c r="F209" t="s">
        <v>48</v>
      </c>
      <c r="G209">
        <v>21889</v>
      </c>
      <c r="H209">
        <v>4</v>
      </c>
      <c r="I209">
        <v>24</v>
      </c>
      <c r="J209" t="s">
        <v>22</v>
      </c>
      <c r="K209" s="4">
        <f>Table1[[#This Row],[Sales]]*Table1[[#This Row],[Quantity]]</f>
        <v>87556</v>
      </c>
      <c r="L209" s="4">
        <f>Table1[[#This Row],[Revenue]]-(Table1[[#This Row],[Revenue]]*Table1[[#This Row],[Discount]]/100)</f>
        <v>66542.559999999998</v>
      </c>
    </row>
    <row r="210" spans="1:12" x14ac:dyDescent="0.55000000000000004">
      <c r="A210" t="s">
        <v>239</v>
      </c>
      <c r="B210" s="2">
        <v>45247</v>
      </c>
      <c r="C210" t="s">
        <v>15</v>
      </c>
      <c r="D210" t="s">
        <v>27</v>
      </c>
      <c r="E210" t="s">
        <v>11</v>
      </c>
      <c r="F210" t="s">
        <v>29</v>
      </c>
      <c r="G210">
        <v>34561</v>
      </c>
      <c r="H210">
        <v>3</v>
      </c>
      <c r="I210">
        <v>6</v>
      </c>
      <c r="J210" t="s">
        <v>25</v>
      </c>
      <c r="K210" s="4">
        <f>Table1[[#This Row],[Sales]]*Table1[[#This Row],[Quantity]]</f>
        <v>103683</v>
      </c>
      <c r="L210" s="4">
        <f>Table1[[#This Row],[Revenue]]-(Table1[[#This Row],[Revenue]]*Table1[[#This Row],[Discount]]/100)</f>
        <v>97462.02</v>
      </c>
    </row>
    <row r="211" spans="1:12" x14ac:dyDescent="0.55000000000000004">
      <c r="A211" t="s">
        <v>240</v>
      </c>
      <c r="B211" s="2">
        <v>45071</v>
      </c>
      <c r="C211" t="s">
        <v>31</v>
      </c>
      <c r="D211" t="s">
        <v>27</v>
      </c>
      <c r="E211" t="s">
        <v>17</v>
      </c>
      <c r="F211" t="s">
        <v>38</v>
      </c>
      <c r="G211">
        <v>22172</v>
      </c>
      <c r="H211">
        <v>6</v>
      </c>
      <c r="I211">
        <v>1</v>
      </c>
      <c r="J211" t="s">
        <v>22</v>
      </c>
      <c r="K211" s="4">
        <f>Table1[[#This Row],[Sales]]*Table1[[#This Row],[Quantity]]</f>
        <v>133032</v>
      </c>
      <c r="L211" s="4">
        <f>Table1[[#This Row],[Revenue]]-(Table1[[#This Row],[Revenue]]*Table1[[#This Row],[Discount]]/100)</f>
        <v>131701.68</v>
      </c>
    </row>
    <row r="212" spans="1:12" x14ac:dyDescent="0.55000000000000004">
      <c r="A212" t="s">
        <v>241</v>
      </c>
      <c r="B212" s="2">
        <v>45011</v>
      </c>
      <c r="C212" t="s">
        <v>19</v>
      </c>
      <c r="D212" t="s">
        <v>46</v>
      </c>
      <c r="E212" t="s">
        <v>11</v>
      </c>
      <c r="F212" t="s">
        <v>38</v>
      </c>
      <c r="G212">
        <v>22172</v>
      </c>
      <c r="H212">
        <v>1</v>
      </c>
      <c r="I212">
        <v>0</v>
      </c>
      <c r="J212" t="s">
        <v>13</v>
      </c>
      <c r="K212" s="4">
        <f>Table1[[#This Row],[Sales]]*Table1[[#This Row],[Quantity]]</f>
        <v>22172</v>
      </c>
      <c r="L212" s="4">
        <f>Table1[[#This Row],[Revenue]]-(Table1[[#This Row],[Revenue]]*Table1[[#This Row],[Discount]]/100)</f>
        <v>22172</v>
      </c>
    </row>
    <row r="213" spans="1:12" x14ac:dyDescent="0.55000000000000004">
      <c r="A213" t="s">
        <v>242</v>
      </c>
      <c r="B213" s="2">
        <v>45098</v>
      </c>
      <c r="C213" t="s">
        <v>31</v>
      </c>
      <c r="D213" t="s">
        <v>27</v>
      </c>
      <c r="E213" t="s">
        <v>11</v>
      </c>
      <c r="F213" t="s">
        <v>21</v>
      </c>
      <c r="G213">
        <v>37548</v>
      </c>
      <c r="H213">
        <v>10</v>
      </c>
      <c r="I213">
        <v>11</v>
      </c>
      <c r="J213" t="s">
        <v>25</v>
      </c>
      <c r="K213" s="4">
        <f>Table1[[#This Row],[Sales]]*Table1[[#This Row],[Quantity]]</f>
        <v>375480</v>
      </c>
      <c r="L213" s="4">
        <f>Table1[[#This Row],[Revenue]]-(Table1[[#This Row],[Revenue]]*Table1[[#This Row],[Discount]]/100)</f>
        <v>334177.2</v>
      </c>
    </row>
    <row r="214" spans="1:12" x14ac:dyDescent="0.55000000000000004">
      <c r="A214" t="s">
        <v>243</v>
      </c>
      <c r="B214" s="2">
        <v>45280</v>
      </c>
      <c r="C214" t="s">
        <v>15</v>
      </c>
      <c r="D214" t="s">
        <v>37</v>
      </c>
      <c r="E214" t="s">
        <v>17</v>
      </c>
      <c r="F214" t="s">
        <v>48</v>
      </c>
      <c r="G214">
        <v>24726</v>
      </c>
      <c r="H214">
        <v>5</v>
      </c>
      <c r="I214">
        <v>0</v>
      </c>
      <c r="J214" t="s">
        <v>13</v>
      </c>
      <c r="K214" s="4">
        <f>Table1[[#This Row],[Sales]]*Table1[[#This Row],[Quantity]]</f>
        <v>123630</v>
      </c>
      <c r="L214" s="4">
        <f>Table1[[#This Row],[Revenue]]-(Table1[[#This Row],[Revenue]]*Table1[[#This Row],[Discount]]/100)</f>
        <v>123630</v>
      </c>
    </row>
    <row r="215" spans="1:12" x14ac:dyDescent="0.55000000000000004">
      <c r="A215" t="s">
        <v>244</v>
      </c>
      <c r="B215" s="2">
        <v>44986</v>
      </c>
      <c r="C215" t="s">
        <v>31</v>
      </c>
      <c r="D215" t="s">
        <v>46</v>
      </c>
      <c r="E215" t="s">
        <v>11</v>
      </c>
      <c r="F215" t="s">
        <v>29</v>
      </c>
      <c r="G215">
        <v>9263</v>
      </c>
      <c r="H215">
        <v>6</v>
      </c>
      <c r="I215">
        <v>12</v>
      </c>
      <c r="J215" t="s">
        <v>25</v>
      </c>
      <c r="K215" s="4">
        <f>Table1[[#This Row],[Sales]]*Table1[[#This Row],[Quantity]]</f>
        <v>55578</v>
      </c>
      <c r="L215" s="4">
        <f>Table1[[#This Row],[Revenue]]-(Table1[[#This Row],[Revenue]]*Table1[[#This Row],[Discount]]/100)</f>
        <v>48908.639999999999</v>
      </c>
    </row>
    <row r="216" spans="1:12" x14ac:dyDescent="0.55000000000000004">
      <c r="A216" t="s">
        <v>245</v>
      </c>
      <c r="B216" s="2">
        <v>45189</v>
      </c>
      <c r="C216" t="s">
        <v>19</v>
      </c>
      <c r="D216" t="s">
        <v>27</v>
      </c>
      <c r="E216" t="s">
        <v>11</v>
      </c>
      <c r="F216" t="s">
        <v>48</v>
      </c>
      <c r="G216">
        <v>44320</v>
      </c>
      <c r="H216">
        <v>6</v>
      </c>
      <c r="I216">
        <v>2</v>
      </c>
      <c r="J216" t="s">
        <v>13</v>
      </c>
      <c r="K216" s="4">
        <f>Table1[[#This Row],[Sales]]*Table1[[#This Row],[Quantity]]</f>
        <v>265920</v>
      </c>
      <c r="L216" s="4">
        <f>Table1[[#This Row],[Revenue]]-(Table1[[#This Row],[Revenue]]*Table1[[#This Row],[Discount]]/100)</f>
        <v>260601.60000000001</v>
      </c>
    </row>
    <row r="217" spans="1:12" x14ac:dyDescent="0.55000000000000004">
      <c r="A217" t="s">
        <v>246</v>
      </c>
      <c r="B217" s="2">
        <v>45092</v>
      </c>
      <c r="C217" t="s">
        <v>31</v>
      </c>
      <c r="D217" t="s">
        <v>37</v>
      </c>
      <c r="E217" t="s">
        <v>11</v>
      </c>
      <c r="F217" t="s">
        <v>34</v>
      </c>
      <c r="G217">
        <v>10155</v>
      </c>
      <c r="H217">
        <v>10</v>
      </c>
      <c r="I217">
        <v>27</v>
      </c>
      <c r="J217" t="s">
        <v>22</v>
      </c>
      <c r="K217" s="4">
        <f>Table1[[#This Row],[Sales]]*Table1[[#This Row],[Quantity]]</f>
        <v>101550</v>
      </c>
      <c r="L217" s="4">
        <f>Table1[[#This Row],[Revenue]]-(Table1[[#This Row],[Revenue]]*Table1[[#This Row],[Discount]]/100)</f>
        <v>74131.5</v>
      </c>
    </row>
    <row r="218" spans="1:12" x14ac:dyDescent="0.55000000000000004">
      <c r="A218" t="s">
        <v>247</v>
      </c>
      <c r="B218" s="2">
        <v>45006</v>
      </c>
      <c r="C218" t="s">
        <v>24</v>
      </c>
      <c r="D218" t="s">
        <v>37</v>
      </c>
      <c r="E218" t="s">
        <v>17</v>
      </c>
      <c r="F218" t="s">
        <v>21</v>
      </c>
      <c r="G218">
        <v>8284</v>
      </c>
      <c r="H218">
        <v>1</v>
      </c>
      <c r="I218">
        <v>10</v>
      </c>
      <c r="J218" t="s">
        <v>13</v>
      </c>
      <c r="K218" s="4">
        <f>Table1[[#This Row],[Sales]]*Table1[[#This Row],[Quantity]]</f>
        <v>8284</v>
      </c>
      <c r="L218" s="4">
        <f>Table1[[#This Row],[Revenue]]-(Table1[[#This Row],[Revenue]]*Table1[[#This Row],[Discount]]/100)</f>
        <v>7455.6</v>
      </c>
    </row>
    <row r="219" spans="1:12" x14ac:dyDescent="0.55000000000000004">
      <c r="A219" t="s">
        <v>248</v>
      </c>
      <c r="B219" s="2">
        <v>44998</v>
      </c>
      <c r="C219" t="s">
        <v>19</v>
      </c>
      <c r="D219" t="s">
        <v>16</v>
      </c>
      <c r="E219" t="s">
        <v>11</v>
      </c>
      <c r="F219" t="s">
        <v>29</v>
      </c>
      <c r="G219">
        <v>6166</v>
      </c>
      <c r="H219">
        <v>3</v>
      </c>
      <c r="I219">
        <v>26</v>
      </c>
      <c r="J219" t="s">
        <v>22</v>
      </c>
      <c r="K219" s="4">
        <f>Table1[[#This Row],[Sales]]*Table1[[#This Row],[Quantity]]</f>
        <v>18498</v>
      </c>
      <c r="L219" s="4">
        <f>Table1[[#This Row],[Revenue]]-(Table1[[#This Row],[Revenue]]*Table1[[#This Row],[Discount]]/100)</f>
        <v>13688.52</v>
      </c>
    </row>
    <row r="220" spans="1:12" x14ac:dyDescent="0.55000000000000004">
      <c r="A220" t="s">
        <v>249</v>
      </c>
      <c r="B220" s="2">
        <v>45035</v>
      </c>
      <c r="C220" t="s">
        <v>31</v>
      </c>
      <c r="D220" t="s">
        <v>46</v>
      </c>
      <c r="E220" t="s">
        <v>17</v>
      </c>
      <c r="F220" t="s">
        <v>12</v>
      </c>
      <c r="G220">
        <v>49412</v>
      </c>
      <c r="H220">
        <v>3</v>
      </c>
      <c r="I220">
        <v>15</v>
      </c>
      <c r="J220" t="s">
        <v>13</v>
      </c>
      <c r="K220" s="4">
        <f>Table1[[#This Row],[Sales]]*Table1[[#This Row],[Quantity]]</f>
        <v>148236</v>
      </c>
      <c r="L220" s="4">
        <f>Table1[[#This Row],[Revenue]]-(Table1[[#This Row],[Revenue]]*Table1[[#This Row],[Discount]]/100)</f>
        <v>126000.6</v>
      </c>
    </row>
    <row r="221" spans="1:12" x14ac:dyDescent="0.55000000000000004">
      <c r="A221" t="s">
        <v>250</v>
      </c>
      <c r="B221" s="2">
        <v>45180</v>
      </c>
      <c r="C221" t="s">
        <v>31</v>
      </c>
      <c r="D221" t="s">
        <v>20</v>
      </c>
      <c r="E221" t="s">
        <v>11</v>
      </c>
      <c r="F221" t="s">
        <v>38</v>
      </c>
      <c r="G221">
        <v>29190</v>
      </c>
      <c r="H221">
        <v>2</v>
      </c>
      <c r="I221">
        <v>21</v>
      </c>
      <c r="J221" t="s">
        <v>22</v>
      </c>
      <c r="K221" s="4">
        <f>Table1[[#This Row],[Sales]]*Table1[[#This Row],[Quantity]]</f>
        <v>58380</v>
      </c>
      <c r="L221" s="4">
        <f>Table1[[#This Row],[Revenue]]-(Table1[[#This Row],[Revenue]]*Table1[[#This Row],[Discount]]/100)</f>
        <v>46120.2</v>
      </c>
    </row>
    <row r="222" spans="1:12" x14ac:dyDescent="0.55000000000000004">
      <c r="A222" t="s">
        <v>251</v>
      </c>
      <c r="B222" s="2">
        <v>44967</v>
      </c>
      <c r="C222" t="s">
        <v>24</v>
      </c>
      <c r="D222" t="s">
        <v>46</v>
      </c>
      <c r="E222" t="s">
        <v>17</v>
      </c>
      <c r="F222" t="s">
        <v>29</v>
      </c>
      <c r="G222">
        <v>11216</v>
      </c>
      <c r="H222">
        <v>3</v>
      </c>
      <c r="I222">
        <v>7</v>
      </c>
      <c r="J222" t="s">
        <v>13</v>
      </c>
      <c r="K222" s="4">
        <f>Table1[[#This Row],[Sales]]*Table1[[#This Row],[Quantity]]</f>
        <v>33648</v>
      </c>
      <c r="L222" s="4">
        <f>Table1[[#This Row],[Revenue]]-(Table1[[#This Row],[Revenue]]*Table1[[#This Row],[Discount]]/100)</f>
        <v>31292.639999999999</v>
      </c>
    </row>
    <row r="223" spans="1:12" x14ac:dyDescent="0.55000000000000004">
      <c r="A223" t="s">
        <v>252</v>
      </c>
      <c r="B223" s="2">
        <v>45062</v>
      </c>
      <c r="C223" t="s">
        <v>31</v>
      </c>
      <c r="D223" t="s">
        <v>46</v>
      </c>
      <c r="E223" t="s">
        <v>11</v>
      </c>
      <c r="F223" t="s">
        <v>29</v>
      </c>
      <c r="G223">
        <v>9236</v>
      </c>
      <c r="H223">
        <v>8</v>
      </c>
      <c r="I223">
        <v>4</v>
      </c>
      <c r="J223" t="s">
        <v>13</v>
      </c>
      <c r="K223" s="4">
        <f>Table1[[#This Row],[Sales]]*Table1[[#This Row],[Quantity]]</f>
        <v>73888</v>
      </c>
      <c r="L223" s="4">
        <f>Table1[[#This Row],[Revenue]]-(Table1[[#This Row],[Revenue]]*Table1[[#This Row],[Discount]]/100)</f>
        <v>70932.479999999996</v>
      </c>
    </row>
    <row r="224" spans="1:12" x14ac:dyDescent="0.55000000000000004">
      <c r="A224" t="s">
        <v>253</v>
      </c>
      <c r="B224" s="2">
        <v>45183</v>
      </c>
      <c r="C224" t="s">
        <v>19</v>
      </c>
      <c r="D224" t="s">
        <v>20</v>
      </c>
      <c r="E224" t="s">
        <v>17</v>
      </c>
      <c r="F224" t="s">
        <v>21</v>
      </c>
      <c r="G224">
        <v>604</v>
      </c>
      <c r="H224">
        <v>5</v>
      </c>
      <c r="I224">
        <v>0</v>
      </c>
      <c r="J224" t="s">
        <v>13</v>
      </c>
      <c r="K224" s="4">
        <f>Table1[[#This Row],[Sales]]*Table1[[#This Row],[Quantity]]</f>
        <v>3020</v>
      </c>
      <c r="L224" s="4">
        <f>Table1[[#This Row],[Revenue]]-(Table1[[#This Row],[Revenue]]*Table1[[#This Row],[Discount]]/100)</f>
        <v>3020</v>
      </c>
    </row>
    <row r="225" spans="1:12" x14ac:dyDescent="0.55000000000000004">
      <c r="A225" t="s">
        <v>254</v>
      </c>
      <c r="B225" s="2">
        <v>45245</v>
      </c>
      <c r="C225" t="s">
        <v>31</v>
      </c>
      <c r="D225" t="s">
        <v>16</v>
      </c>
      <c r="E225" t="s">
        <v>17</v>
      </c>
      <c r="F225" t="s">
        <v>34</v>
      </c>
      <c r="G225">
        <v>36467</v>
      </c>
      <c r="H225">
        <v>9</v>
      </c>
      <c r="I225">
        <v>16</v>
      </c>
      <c r="J225" t="s">
        <v>22</v>
      </c>
      <c r="K225" s="4">
        <f>Table1[[#This Row],[Sales]]*Table1[[#This Row],[Quantity]]</f>
        <v>328203</v>
      </c>
      <c r="L225" s="4">
        <f>Table1[[#This Row],[Revenue]]-(Table1[[#This Row],[Revenue]]*Table1[[#This Row],[Discount]]/100)</f>
        <v>275690.52</v>
      </c>
    </row>
    <row r="226" spans="1:12" x14ac:dyDescent="0.55000000000000004">
      <c r="A226" t="s">
        <v>255</v>
      </c>
      <c r="B226" s="2">
        <v>45029</v>
      </c>
      <c r="C226" t="s">
        <v>24</v>
      </c>
      <c r="D226" t="s">
        <v>46</v>
      </c>
      <c r="E226" t="s">
        <v>11</v>
      </c>
      <c r="F226" t="s">
        <v>44</v>
      </c>
      <c r="G226">
        <v>15838</v>
      </c>
      <c r="H226">
        <v>7</v>
      </c>
      <c r="I226">
        <v>1</v>
      </c>
      <c r="J226" t="s">
        <v>25</v>
      </c>
      <c r="K226" s="4">
        <f>Table1[[#This Row],[Sales]]*Table1[[#This Row],[Quantity]]</f>
        <v>110866</v>
      </c>
      <c r="L226" s="4">
        <f>Table1[[#This Row],[Revenue]]-(Table1[[#This Row],[Revenue]]*Table1[[#This Row],[Discount]]/100)</f>
        <v>109757.34</v>
      </c>
    </row>
    <row r="227" spans="1:12" x14ac:dyDescent="0.55000000000000004">
      <c r="A227" t="s">
        <v>256</v>
      </c>
      <c r="B227" s="2">
        <v>45190</v>
      </c>
      <c r="C227" t="s">
        <v>31</v>
      </c>
      <c r="D227" t="s">
        <v>46</v>
      </c>
      <c r="E227" t="s">
        <v>11</v>
      </c>
      <c r="F227" t="s">
        <v>38</v>
      </c>
      <c r="G227">
        <v>10862</v>
      </c>
      <c r="H227">
        <v>5</v>
      </c>
      <c r="I227">
        <v>9</v>
      </c>
      <c r="J227" t="s">
        <v>13</v>
      </c>
      <c r="K227" s="4">
        <f>Table1[[#This Row],[Sales]]*Table1[[#This Row],[Quantity]]</f>
        <v>54310</v>
      </c>
      <c r="L227" s="4">
        <f>Table1[[#This Row],[Revenue]]-(Table1[[#This Row],[Revenue]]*Table1[[#This Row],[Discount]]/100)</f>
        <v>49422.1</v>
      </c>
    </row>
    <row r="228" spans="1:12" x14ac:dyDescent="0.55000000000000004">
      <c r="A228" t="s">
        <v>257</v>
      </c>
      <c r="B228" s="2">
        <v>44930</v>
      </c>
      <c r="C228" t="s">
        <v>15</v>
      </c>
      <c r="D228" t="s">
        <v>37</v>
      </c>
      <c r="E228" t="s">
        <v>11</v>
      </c>
      <c r="F228" t="s">
        <v>48</v>
      </c>
      <c r="G228">
        <v>36857</v>
      </c>
      <c r="H228">
        <v>6</v>
      </c>
      <c r="I228">
        <v>18</v>
      </c>
      <c r="J228" t="s">
        <v>25</v>
      </c>
      <c r="K228" s="4">
        <f>Table1[[#This Row],[Sales]]*Table1[[#This Row],[Quantity]]</f>
        <v>221142</v>
      </c>
      <c r="L228" s="4">
        <f>Table1[[#This Row],[Revenue]]-(Table1[[#This Row],[Revenue]]*Table1[[#This Row],[Discount]]/100)</f>
        <v>181336.44</v>
      </c>
    </row>
    <row r="229" spans="1:12" x14ac:dyDescent="0.55000000000000004">
      <c r="A229" t="s">
        <v>258</v>
      </c>
      <c r="B229" s="2">
        <v>45089</v>
      </c>
      <c r="C229" t="s">
        <v>31</v>
      </c>
      <c r="D229" t="s">
        <v>27</v>
      </c>
      <c r="E229" t="s">
        <v>17</v>
      </c>
      <c r="F229" t="s">
        <v>29</v>
      </c>
      <c r="G229">
        <v>5868</v>
      </c>
      <c r="H229">
        <v>8</v>
      </c>
      <c r="I229">
        <v>23</v>
      </c>
      <c r="J229" t="s">
        <v>13</v>
      </c>
      <c r="K229" s="4">
        <f>Table1[[#This Row],[Sales]]*Table1[[#This Row],[Quantity]]</f>
        <v>46944</v>
      </c>
      <c r="L229" s="4">
        <f>Table1[[#This Row],[Revenue]]-(Table1[[#This Row],[Revenue]]*Table1[[#This Row],[Discount]]/100)</f>
        <v>36146.879999999997</v>
      </c>
    </row>
    <row r="230" spans="1:12" x14ac:dyDescent="0.55000000000000004">
      <c r="A230" t="s">
        <v>259</v>
      </c>
      <c r="B230" s="2">
        <v>45223</v>
      </c>
      <c r="C230" t="s">
        <v>15</v>
      </c>
      <c r="D230" t="s">
        <v>16</v>
      </c>
      <c r="E230" t="s">
        <v>11</v>
      </c>
      <c r="F230" t="s">
        <v>12</v>
      </c>
      <c r="G230">
        <v>27283</v>
      </c>
      <c r="H230">
        <v>10</v>
      </c>
      <c r="I230">
        <v>20</v>
      </c>
      <c r="J230" t="s">
        <v>22</v>
      </c>
      <c r="K230" s="4">
        <f>Table1[[#This Row],[Sales]]*Table1[[#This Row],[Quantity]]</f>
        <v>272830</v>
      </c>
      <c r="L230" s="4">
        <f>Table1[[#This Row],[Revenue]]-(Table1[[#This Row],[Revenue]]*Table1[[#This Row],[Discount]]/100)</f>
        <v>218264</v>
      </c>
    </row>
    <row r="231" spans="1:12" x14ac:dyDescent="0.55000000000000004">
      <c r="A231" t="s">
        <v>260</v>
      </c>
      <c r="B231" s="2">
        <v>45104</v>
      </c>
      <c r="C231" t="s">
        <v>31</v>
      </c>
      <c r="D231" t="s">
        <v>16</v>
      </c>
      <c r="E231" t="s">
        <v>17</v>
      </c>
      <c r="F231" t="s">
        <v>44</v>
      </c>
      <c r="G231">
        <v>16907</v>
      </c>
      <c r="H231">
        <v>7</v>
      </c>
      <c r="I231">
        <v>24</v>
      </c>
      <c r="J231" t="s">
        <v>22</v>
      </c>
      <c r="K231" s="4">
        <f>Table1[[#This Row],[Sales]]*Table1[[#This Row],[Quantity]]</f>
        <v>118349</v>
      </c>
      <c r="L231" s="4">
        <f>Table1[[#This Row],[Revenue]]-(Table1[[#This Row],[Revenue]]*Table1[[#This Row],[Discount]]/100)</f>
        <v>89945.24</v>
      </c>
    </row>
    <row r="232" spans="1:12" x14ac:dyDescent="0.55000000000000004">
      <c r="A232" t="s">
        <v>261</v>
      </c>
      <c r="B232" s="2">
        <v>45136</v>
      </c>
      <c r="C232" t="s">
        <v>19</v>
      </c>
      <c r="D232" t="s">
        <v>16</v>
      </c>
      <c r="E232" t="s">
        <v>11</v>
      </c>
      <c r="F232" t="s">
        <v>44</v>
      </c>
      <c r="G232">
        <v>3457</v>
      </c>
      <c r="H232">
        <v>3</v>
      </c>
      <c r="I232">
        <v>1</v>
      </c>
      <c r="J232" t="s">
        <v>22</v>
      </c>
      <c r="K232" s="4">
        <f>Table1[[#This Row],[Sales]]*Table1[[#This Row],[Quantity]]</f>
        <v>10371</v>
      </c>
      <c r="L232" s="4">
        <f>Table1[[#This Row],[Revenue]]-(Table1[[#This Row],[Revenue]]*Table1[[#This Row],[Discount]]/100)</f>
        <v>10267.290000000001</v>
      </c>
    </row>
    <row r="233" spans="1:12" x14ac:dyDescent="0.55000000000000004">
      <c r="A233" t="s">
        <v>262</v>
      </c>
      <c r="B233" s="2">
        <v>45286</v>
      </c>
      <c r="C233" t="s">
        <v>19</v>
      </c>
      <c r="D233" t="s">
        <v>27</v>
      </c>
      <c r="E233" t="s">
        <v>17</v>
      </c>
      <c r="F233" t="s">
        <v>12</v>
      </c>
      <c r="G233">
        <v>46880</v>
      </c>
      <c r="H233">
        <v>1</v>
      </c>
      <c r="I233">
        <v>6</v>
      </c>
      <c r="J233" t="s">
        <v>25</v>
      </c>
      <c r="K233" s="4">
        <f>Table1[[#This Row],[Sales]]*Table1[[#This Row],[Quantity]]</f>
        <v>46880</v>
      </c>
      <c r="L233" s="4">
        <f>Table1[[#This Row],[Revenue]]-(Table1[[#This Row],[Revenue]]*Table1[[#This Row],[Discount]]/100)</f>
        <v>44067.199999999997</v>
      </c>
    </row>
    <row r="234" spans="1:12" x14ac:dyDescent="0.55000000000000004">
      <c r="A234" t="s">
        <v>263</v>
      </c>
      <c r="B234" s="2">
        <v>45181</v>
      </c>
      <c r="C234" t="s">
        <v>15</v>
      </c>
      <c r="D234" t="s">
        <v>16</v>
      </c>
      <c r="E234" t="s">
        <v>17</v>
      </c>
      <c r="F234" t="s">
        <v>12</v>
      </c>
      <c r="G234">
        <v>39229</v>
      </c>
      <c r="H234">
        <v>2</v>
      </c>
      <c r="I234">
        <v>30</v>
      </c>
      <c r="J234" t="s">
        <v>22</v>
      </c>
      <c r="K234" s="4">
        <f>Table1[[#This Row],[Sales]]*Table1[[#This Row],[Quantity]]</f>
        <v>78458</v>
      </c>
      <c r="L234" s="4">
        <f>Table1[[#This Row],[Revenue]]-(Table1[[#This Row],[Revenue]]*Table1[[#This Row],[Discount]]/100)</f>
        <v>54920.6</v>
      </c>
    </row>
    <row r="235" spans="1:12" x14ac:dyDescent="0.55000000000000004">
      <c r="A235" t="s">
        <v>264</v>
      </c>
      <c r="B235" s="2">
        <v>45120</v>
      </c>
      <c r="C235" t="s">
        <v>15</v>
      </c>
      <c r="D235" t="s">
        <v>27</v>
      </c>
      <c r="E235" t="s">
        <v>17</v>
      </c>
      <c r="F235" t="s">
        <v>44</v>
      </c>
      <c r="G235">
        <v>42638</v>
      </c>
      <c r="H235">
        <v>1</v>
      </c>
      <c r="I235">
        <v>29</v>
      </c>
      <c r="J235" t="s">
        <v>25</v>
      </c>
      <c r="K235" s="4">
        <f>Table1[[#This Row],[Sales]]*Table1[[#This Row],[Quantity]]</f>
        <v>42638</v>
      </c>
      <c r="L235" s="4">
        <f>Table1[[#This Row],[Revenue]]-(Table1[[#This Row],[Revenue]]*Table1[[#This Row],[Discount]]/100)</f>
        <v>30272.98</v>
      </c>
    </row>
    <row r="236" spans="1:12" x14ac:dyDescent="0.55000000000000004">
      <c r="A236" t="s">
        <v>265</v>
      </c>
      <c r="B236" s="2">
        <v>45133</v>
      </c>
      <c r="C236" t="s">
        <v>15</v>
      </c>
      <c r="D236" t="s">
        <v>27</v>
      </c>
      <c r="E236" t="s">
        <v>17</v>
      </c>
      <c r="F236" t="s">
        <v>34</v>
      </c>
      <c r="G236">
        <v>21310</v>
      </c>
      <c r="H236">
        <v>9</v>
      </c>
      <c r="I236">
        <v>23</v>
      </c>
      <c r="J236" t="s">
        <v>13</v>
      </c>
      <c r="K236" s="4">
        <f>Table1[[#This Row],[Sales]]*Table1[[#This Row],[Quantity]]</f>
        <v>191790</v>
      </c>
      <c r="L236" s="4">
        <f>Table1[[#This Row],[Revenue]]-(Table1[[#This Row],[Revenue]]*Table1[[#This Row],[Discount]]/100)</f>
        <v>147678.29999999999</v>
      </c>
    </row>
    <row r="237" spans="1:12" x14ac:dyDescent="0.55000000000000004">
      <c r="A237" t="s">
        <v>266</v>
      </c>
      <c r="B237" s="2">
        <v>45067</v>
      </c>
      <c r="C237" t="s">
        <v>31</v>
      </c>
      <c r="D237" t="s">
        <v>46</v>
      </c>
      <c r="E237" t="s">
        <v>17</v>
      </c>
      <c r="F237" t="s">
        <v>38</v>
      </c>
      <c r="G237">
        <v>17420</v>
      </c>
      <c r="H237">
        <v>8</v>
      </c>
      <c r="I237">
        <v>5</v>
      </c>
      <c r="J237" t="s">
        <v>25</v>
      </c>
      <c r="K237" s="4">
        <f>Table1[[#This Row],[Sales]]*Table1[[#This Row],[Quantity]]</f>
        <v>139360</v>
      </c>
      <c r="L237" s="4">
        <f>Table1[[#This Row],[Revenue]]-(Table1[[#This Row],[Revenue]]*Table1[[#This Row],[Discount]]/100)</f>
        <v>132392</v>
      </c>
    </row>
    <row r="238" spans="1:12" x14ac:dyDescent="0.55000000000000004">
      <c r="A238" t="s">
        <v>267</v>
      </c>
      <c r="B238" s="2">
        <v>44978</v>
      </c>
      <c r="C238" t="s">
        <v>15</v>
      </c>
      <c r="D238" t="s">
        <v>20</v>
      </c>
      <c r="E238" t="s">
        <v>17</v>
      </c>
      <c r="F238" t="s">
        <v>44</v>
      </c>
      <c r="G238">
        <v>31024</v>
      </c>
      <c r="H238">
        <v>1</v>
      </c>
      <c r="I238">
        <v>21</v>
      </c>
      <c r="J238" t="s">
        <v>13</v>
      </c>
      <c r="K238" s="4">
        <f>Table1[[#This Row],[Sales]]*Table1[[#This Row],[Quantity]]</f>
        <v>31024</v>
      </c>
      <c r="L238" s="4">
        <f>Table1[[#This Row],[Revenue]]-(Table1[[#This Row],[Revenue]]*Table1[[#This Row],[Discount]]/100)</f>
        <v>24508.959999999999</v>
      </c>
    </row>
    <row r="239" spans="1:12" x14ac:dyDescent="0.55000000000000004">
      <c r="A239" t="s">
        <v>268</v>
      </c>
      <c r="B239" s="2">
        <v>44987</v>
      </c>
      <c r="C239" t="s">
        <v>31</v>
      </c>
      <c r="D239" t="s">
        <v>37</v>
      </c>
      <c r="E239" t="s">
        <v>17</v>
      </c>
      <c r="F239" t="s">
        <v>44</v>
      </c>
      <c r="G239">
        <v>16303</v>
      </c>
      <c r="H239">
        <v>10</v>
      </c>
      <c r="I239">
        <v>21</v>
      </c>
      <c r="J239" t="s">
        <v>13</v>
      </c>
      <c r="K239" s="4">
        <f>Table1[[#This Row],[Sales]]*Table1[[#This Row],[Quantity]]</f>
        <v>163030</v>
      </c>
      <c r="L239" s="4">
        <f>Table1[[#This Row],[Revenue]]-(Table1[[#This Row],[Revenue]]*Table1[[#This Row],[Discount]]/100)</f>
        <v>128793.7</v>
      </c>
    </row>
    <row r="240" spans="1:12" x14ac:dyDescent="0.55000000000000004">
      <c r="A240" t="s">
        <v>269</v>
      </c>
      <c r="B240" s="2">
        <v>45277</v>
      </c>
      <c r="C240" t="s">
        <v>31</v>
      </c>
      <c r="D240" t="s">
        <v>37</v>
      </c>
      <c r="E240" t="s">
        <v>17</v>
      </c>
      <c r="F240" t="s">
        <v>12</v>
      </c>
      <c r="G240">
        <v>46737</v>
      </c>
      <c r="H240">
        <v>10</v>
      </c>
      <c r="I240">
        <v>18</v>
      </c>
      <c r="J240" t="s">
        <v>25</v>
      </c>
      <c r="K240" s="4">
        <f>Table1[[#This Row],[Sales]]*Table1[[#This Row],[Quantity]]</f>
        <v>467370</v>
      </c>
      <c r="L240" s="4">
        <f>Table1[[#This Row],[Revenue]]-(Table1[[#This Row],[Revenue]]*Table1[[#This Row],[Discount]]/100)</f>
        <v>383243.4</v>
      </c>
    </row>
    <row r="241" spans="1:12" x14ac:dyDescent="0.55000000000000004">
      <c r="A241" t="s">
        <v>270</v>
      </c>
      <c r="B241" s="2">
        <v>45053</v>
      </c>
      <c r="C241" t="s">
        <v>15</v>
      </c>
      <c r="D241" t="s">
        <v>27</v>
      </c>
      <c r="E241" t="s">
        <v>17</v>
      </c>
      <c r="F241" t="s">
        <v>48</v>
      </c>
      <c r="G241">
        <v>33471</v>
      </c>
      <c r="H241">
        <v>4</v>
      </c>
      <c r="I241">
        <v>11</v>
      </c>
      <c r="J241" t="s">
        <v>13</v>
      </c>
      <c r="K241" s="4">
        <f>Table1[[#This Row],[Sales]]*Table1[[#This Row],[Quantity]]</f>
        <v>133884</v>
      </c>
      <c r="L241" s="4">
        <f>Table1[[#This Row],[Revenue]]-(Table1[[#This Row],[Revenue]]*Table1[[#This Row],[Discount]]/100)</f>
        <v>119156.76</v>
      </c>
    </row>
    <row r="242" spans="1:12" x14ac:dyDescent="0.55000000000000004">
      <c r="A242" t="s">
        <v>271</v>
      </c>
      <c r="B242" s="2">
        <v>44997</v>
      </c>
      <c r="C242" t="s">
        <v>15</v>
      </c>
      <c r="D242" t="s">
        <v>16</v>
      </c>
      <c r="E242" t="s">
        <v>11</v>
      </c>
      <c r="F242" t="s">
        <v>12</v>
      </c>
      <c r="G242">
        <v>27737</v>
      </c>
      <c r="H242">
        <v>8</v>
      </c>
      <c r="I242">
        <v>7</v>
      </c>
      <c r="J242" t="s">
        <v>22</v>
      </c>
      <c r="K242" s="4">
        <f>Table1[[#This Row],[Sales]]*Table1[[#This Row],[Quantity]]</f>
        <v>221896</v>
      </c>
      <c r="L242" s="4">
        <f>Table1[[#This Row],[Revenue]]-(Table1[[#This Row],[Revenue]]*Table1[[#This Row],[Discount]]/100)</f>
        <v>206363.28</v>
      </c>
    </row>
    <row r="243" spans="1:12" x14ac:dyDescent="0.55000000000000004">
      <c r="A243" t="s">
        <v>272</v>
      </c>
      <c r="B243" s="2">
        <v>45102</v>
      </c>
      <c r="C243" t="s">
        <v>15</v>
      </c>
      <c r="D243" t="s">
        <v>20</v>
      </c>
      <c r="E243" t="s">
        <v>11</v>
      </c>
      <c r="F243" t="s">
        <v>44</v>
      </c>
      <c r="G243">
        <v>18031</v>
      </c>
      <c r="H243">
        <v>8</v>
      </c>
      <c r="I243">
        <v>22</v>
      </c>
      <c r="J243" t="s">
        <v>13</v>
      </c>
      <c r="K243" s="4">
        <f>Table1[[#This Row],[Sales]]*Table1[[#This Row],[Quantity]]</f>
        <v>144248</v>
      </c>
      <c r="L243" s="4">
        <f>Table1[[#This Row],[Revenue]]-(Table1[[#This Row],[Revenue]]*Table1[[#This Row],[Discount]]/100)</f>
        <v>112513.44</v>
      </c>
    </row>
    <row r="244" spans="1:12" x14ac:dyDescent="0.55000000000000004">
      <c r="A244" t="s">
        <v>273</v>
      </c>
      <c r="B244" s="2">
        <v>44932</v>
      </c>
      <c r="C244" t="s">
        <v>15</v>
      </c>
      <c r="D244" t="s">
        <v>37</v>
      </c>
      <c r="E244" t="s">
        <v>17</v>
      </c>
      <c r="F244" t="s">
        <v>12</v>
      </c>
      <c r="G244">
        <v>388</v>
      </c>
      <c r="H244">
        <v>3</v>
      </c>
      <c r="I244">
        <v>27</v>
      </c>
      <c r="J244" t="s">
        <v>13</v>
      </c>
      <c r="K244" s="4">
        <f>Table1[[#This Row],[Sales]]*Table1[[#This Row],[Quantity]]</f>
        <v>1164</v>
      </c>
      <c r="L244" s="4">
        <f>Table1[[#This Row],[Revenue]]-(Table1[[#This Row],[Revenue]]*Table1[[#This Row],[Discount]]/100)</f>
        <v>849.72</v>
      </c>
    </row>
    <row r="245" spans="1:12" x14ac:dyDescent="0.55000000000000004">
      <c r="A245" t="s">
        <v>274</v>
      </c>
      <c r="B245" s="2">
        <v>45027</v>
      </c>
      <c r="C245" t="s">
        <v>24</v>
      </c>
      <c r="D245" t="s">
        <v>16</v>
      </c>
      <c r="E245" t="s">
        <v>17</v>
      </c>
      <c r="F245" t="s">
        <v>12</v>
      </c>
      <c r="G245">
        <v>47922</v>
      </c>
      <c r="H245">
        <v>4</v>
      </c>
      <c r="I245">
        <v>5</v>
      </c>
      <c r="J245" t="s">
        <v>25</v>
      </c>
      <c r="K245" s="4">
        <f>Table1[[#This Row],[Sales]]*Table1[[#This Row],[Quantity]]</f>
        <v>191688</v>
      </c>
      <c r="L245" s="4">
        <f>Table1[[#This Row],[Revenue]]-(Table1[[#This Row],[Revenue]]*Table1[[#This Row],[Discount]]/100)</f>
        <v>182103.6</v>
      </c>
    </row>
    <row r="246" spans="1:12" x14ac:dyDescent="0.55000000000000004">
      <c r="A246" t="s">
        <v>275</v>
      </c>
      <c r="B246" s="2">
        <v>45008</v>
      </c>
      <c r="C246" t="s">
        <v>15</v>
      </c>
      <c r="D246" t="s">
        <v>20</v>
      </c>
      <c r="E246" t="s">
        <v>11</v>
      </c>
      <c r="F246" t="s">
        <v>34</v>
      </c>
      <c r="G246">
        <v>16278</v>
      </c>
      <c r="H246">
        <v>1</v>
      </c>
      <c r="I246">
        <v>13</v>
      </c>
      <c r="J246" t="s">
        <v>22</v>
      </c>
      <c r="K246" s="4">
        <f>Table1[[#This Row],[Sales]]*Table1[[#This Row],[Quantity]]</f>
        <v>16278</v>
      </c>
      <c r="L246" s="4">
        <f>Table1[[#This Row],[Revenue]]-(Table1[[#This Row],[Revenue]]*Table1[[#This Row],[Discount]]/100)</f>
        <v>14161.86</v>
      </c>
    </row>
    <row r="247" spans="1:12" x14ac:dyDescent="0.55000000000000004">
      <c r="A247" t="s">
        <v>276</v>
      </c>
      <c r="B247" s="2">
        <v>45256</v>
      </c>
      <c r="C247" t="s">
        <v>19</v>
      </c>
      <c r="D247" t="s">
        <v>27</v>
      </c>
      <c r="E247" t="s">
        <v>11</v>
      </c>
      <c r="F247" t="s">
        <v>38</v>
      </c>
      <c r="G247">
        <v>29895</v>
      </c>
      <c r="H247">
        <v>9</v>
      </c>
      <c r="I247">
        <v>29</v>
      </c>
      <c r="J247" t="s">
        <v>22</v>
      </c>
      <c r="K247" s="4">
        <f>Table1[[#This Row],[Sales]]*Table1[[#This Row],[Quantity]]</f>
        <v>269055</v>
      </c>
      <c r="L247" s="4">
        <f>Table1[[#This Row],[Revenue]]-(Table1[[#This Row],[Revenue]]*Table1[[#This Row],[Discount]]/100)</f>
        <v>191029.05</v>
      </c>
    </row>
    <row r="248" spans="1:12" x14ac:dyDescent="0.55000000000000004">
      <c r="A248" t="s">
        <v>277</v>
      </c>
      <c r="B248" s="2">
        <v>45097</v>
      </c>
      <c r="C248" t="s">
        <v>31</v>
      </c>
      <c r="D248" t="s">
        <v>16</v>
      </c>
      <c r="E248" t="s">
        <v>11</v>
      </c>
      <c r="F248" t="s">
        <v>12</v>
      </c>
      <c r="G248">
        <v>2828</v>
      </c>
      <c r="H248">
        <v>4</v>
      </c>
      <c r="I248">
        <v>14</v>
      </c>
      <c r="J248" t="s">
        <v>22</v>
      </c>
      <c r="K248" s="4">
        <f>Table1[[#This Row],[Sales]]*Table1[[#This Row],[Quantity]]</f>
        <v>11312</v>
      </c>
      <c r="L248" s="4">
        <f>Table1[[#This Row],[Revenue]]-(Table1[[#This Row],[Revenue]]*Table1[[#This Row],[Discount]]/100)</f>
        <v>9728.32</v>
      </c>
    </row>
    <row r="249" spans="1:12" x14ac:dyDescent="0.55000000000000004">
      <c r="A249" t="s">
        <v>278</v>
      </c>
      <c r="B249" s="2">
        <v>45003</v>
      </c>
      <c r="C249" t="s">
        <v>19</v>
      </c>
      <c r="D249" t="s">
        <v>16</v>
      </c>
      <c r="E249" t="s">
        <v>11</v>
      </c>
      <c r="F249" t="s">
        <v>38</v>
      </c>
      <c r="G249">
        <v>5677</v>
      </c>
      <c r="H249">
        <v>10</v>
      </c>
      <c r="I249">
        <v>21</v>
      </c>
      <c r="J249" t="s">
        <v>13</v>
      </c>
      <c r="K249" s="4">
        <f>Table1[[#This Row],[Sales]]*Table1[[#This Row],[Quantity]]</f>
        <v>56770</v>
      </c>
      <c r="L249" s="4">
        <f>Table1[[#This Row],[Revenue]]-(Table1[[#This Row],[Revenue]]*Table1[[#This Row],[Discount]]/100)</f>
        <v>44848.3</v>
      </c>
    </row>
    <row r="250" spans="1:12" x14ac:dyDescent="0.55000000000000004">
      <c r="A250" t="s">
        <v>279</v>
      </c>
      <c r="B250" s="2">
        <v>44946</v>
      </c>
      <c r="C250" t="s">
        <v>24</v>
      </c>
      <c r="D250" t="s">
        <v>16</v>
      </c>
      <c r="E250" t="s">
        <v>11</v>
      </c>
      <c r="F250" t="s">
        <v>44</v>
      </c>
      <c r="G250">
        <v>42533</v>
      </c>
      <c r="H250">
        <v>6</v>
      </c>
      <c r="I250">
        <v>10</v>
      </c>
      <c r="J250" t="s">
        <v>25</v>
      </c>
      <c r="K250" s="4">
        <f>Table1[[#This Row],[Sales]]*Table1[[#This Row],[Quantity]]</f>
        <v>255198</v>
      </c>
      <c r="L250" s="4">
        <f>Table1[[#This Row],[Revenue]]-(Table1[[#This Row],[Revenue]]*Table1[[#This Row],[Discount]]/100)</f>
        <v>229678.2</v>
      </c>
    </row>
    <row r="251" spans="1:12" x14ac:dyDescent="0.55000000000000004">
      <c r="A251" t="s">
        <v>280</v>
      </c>
      <c r="B251" s="2">
        <v>45043</v>
      </c>
      <c r="C251" t="s">
        <v>15</v>
      </c>
      <c r="D251" t="s">
        <v>20</v>
      </c>
      <c r="E251" t="s">
        <v>17</v>
      </c>
      <c r="F251" t="s">
        <v>44</v>
      </c>
      <c r="G251">
        <v>49656</v>
      </c>
      <c r="H251">
        <v>7</v>
      </c>
      <c r="I251">
        <v>5</v>
      </c>
      <c r="J251" t="s">
        <v>13</v>
      </c>
      <c r="K251" s="4">
        <f>Table1[[#This Row],[Sales]]*Table1[[#This Row],[Quantity]]</f>
        <v>347592</v>
      </c>
      <c r="L251" s="4">
        <f>Table1[[#This Row],[Revenue]]-(Table1[[#This Row],[Revenue]]*Table1[[#This Row],[Discount]]/100)</f>
        <v>330212.40000000002</v>
      </c>
    </row>
    <row r="252" spans="1:12" x14ac:dyDescent="0.55000000000000004">
      <c r="A252" t="s">
        <v>281</v>
      </c>
      <c r="B252" s="2">
        <v>44931</v>
      </c>
      <c r="C252" t="s">
        <v>31</v>
      </c>
      <c r="D252" t="s">
        <v>20</v>
      </c>
      <c r="E252" t="s">
        <v>11</v>
      </c>
      <c r="F252" t="s">
        <v>34</v>
      </c>
      <c r="G252">
        <v>5353</v>
      </c>
      <c r="H252">
        <v>2</v>
      </c>
      <c r="I252">
        <v>23</v>
      </c>
      <c r="J252" t="s">
        <v>25</v>
      </c>
      <c r="K252" s="4">
        <f>Table1[[#This Row],[Sales]]*Table1[[#This Row],[Quantity]]</f>
        <v>10706</v>
      </c>
      <c r="L252" s="4">
        <f>Table1[[#This Row],[Revenue]]-(Table1[[#This Row],[Revenue]]*Table1[[#This Row],[Discount]]/100)</f>
        <v>8243.619999999999</v>
      </c>
    </row>
    <row r="253" spans="1:12" x14ac:dyDescent="0.55000000000000004">
      <c r="A253" t="s">
        <v>282</v>
      </c>
      <c r="B253" s="2">
        <v>44933</v>
      </c>
      <c r="C253" t="s">
        <v>15</v>
      </c>
      <c r="D253" t="s">
        <v>20</v>
      </c>
      <c r="E253" t="s">
        <v>17</v>
      </c>
      <c r="F253" t="s">
        <v>21</v>
      </c>
      <c r="G253">
        <v>29528</v>
      </c>
      <c r="H253">
        <v>9</v>
      </c>
      <c r="I253">
        <v>7</v>
      </c>
      <c r="J253" t="s">
        <v>25</v>
      </c>
      <c r="K253" s="4">
        <f>Table1[[#This Row],[Sales]]*Table1[[#This Row],[Quantity]]</f>
        <v>265752</v>
      </c>
      <c r="L253" s="4">
        <f>Table1[[#This Row],[Revenue]]-(Table1[[#This Row],[Revenue]]*Table1[[#This Row],[Discount]]/100)</f>
        <v>247149.36</v>
      </c>
    </row>
    <row r="254" spans="1:12" x14ac:dyDescent="0.55000000000000004">
      <c r="A254" t="s">
        <v>283</v>
      </c>
      <c r="B254" s="2">
        <v>45231</v>
      </c>
      <c r="C254" t="s">
        <v>19</v>
      </c>
      <c r="D254" t="s">
        <v>20</v>
      </c>
      <c r="E254" t="s">
        <v>17</v>
      </c>
      <c r="F254" t="s">
        <v>21</v>
      </c>
      <c r="G254">
        <v>30474</v>
      </c>
      <c r="H254">
        <v>2</v>
      </c>
      <c r="I254">
        <v>13</v>
      </c>
      <c r="J254" t="s">
        <v>25</v>
      </c>
      <c r="K254" s="4">
        <f>Table1[[#This Row],[Sales]]*Table1[[#This Row],[Quantity]]</f>
        <v>60948</v>
      </c>
      <c r="L254" s="4">
        <f>Table1[[#This Row],[Revenue]]-(Table1[[#This Row],[Revenue]]*Table1[[#This Row],[Discount]]/100)</f>
        <v>53024.76</v>
      </c>
    </row>
    <row r="255" spans="1:12" x14ac:dyDescent="0.55000000000000004">
      <c r="A255" t="s">
        <v>284</v>
      </c>
      <c r="B255" s="2">
        <v>45193</v>
      </c>
      <c r="C255" t="s">
        <v>24</v>
      </c>
      <c r="D255" t="s">
        <v>37</v>
      </c>
      <c r="E255" t="s">
        <v>11</v>
      </c>
      <c r="F255" t="s">
        <v>44</v>
      </c>
      <c r="G255">
        <v>43161</v>
      </c>
      <c r="H255">
        <v>5</v>
      </c>
      <c r="I255">
        <v>27</v>
      </c>
      <c r="J255" t="s">
        <v>13</v>
      </c>
      <c r="K255" s="4">
        <f>Table1[[#This Row],[Sales]]*Table1[[#This Row],[Quantity]]</f>
        <v>215805</v>
      </c>
      <c r="L255" s="4">
        <f>Table1[[#This Row],[Revenue]]-(Table1[[#This Row],[Revenue]]*Table1[[#This Row],[Discount]]/100)</f>
        <v>157537.65</v>
      </c>
    </row>
    <row r="256" spans="1:12" x14ac:dyDescent="0.55000000000000004">
      <c r="A256" t="s">
        <v>285</v>
      </c>
      <c r="B256" s="2">
        <v>44933</v>
      </c>
      <c r="C256" t="s">
        <v>24</v>
      </c>
      <c r="D256" t="s">
        <v>46</v>
      </c>
      <c r="E256" t="s">
        <v>17</v>
      </c>
      <c r="F256" t="s">
        <v>21</v>
      </c>
      <c r="G256">
        <v>5583</v>
      </c>
      <c r="H256">
        <v>7</v>
      </c>
      <c r="I256">
        <v>4</v>
      </c>
      <c r="J256" t="s">
        <v>22</v>
      </c>
      <c r="K256" s="4">
        <f>Table1[[#This Row],[Sales]]*Table1[[#This Row],[Quantity]]</f>
        <v>39081</v>
      </c>
      <c r="L256" s="4">
        <f>Table1[[#This Row],[Revenue]]-(Table1[[#This Row],[Revenue]]*Table1[[#This Row],[Discount]]/100)</f>
        <v>37517.760000000002</v>
      </c>
    </row>
    <row r="257" spans="1:12" x14ac:dyDescent="0.55000000000000004">
      <c r="A257" t="s">
        <v>286</v>
      </c>
      <c r="B257" s="2">
        <v>45215</v>
      </c>
      <c r="C257" t="s">
        <v>15</v>
      </c>
      <c r="D257" t="s">
        <v>37</v>
      </c>
      <c r="E257" t="s">
        <v>17</v>
      </c>
      <c r="F257" t="s">
        <v>29</v>
      </c>
      <c r="G257">
        <v>12478</v>
      </c>
      <c r="H257">
        <v>1</v>
      </c>
      <c r="I257">
        <v>2</v>
      </c>
      <c r="J257" t="s">
        <v>13</v>
      </c>
      <c r="K257" s="4">
        <f>Table1[[#This Row],[Sales]]*Table1[[#This Row],[Quantity]]</f>
        <v>12478</v>
      </c>
      <c r="L257" s="4">
        <f>Table1[[#This Row],[Revenue]]-(Table1[[#This Row],[Revenue]]*Table1[[#This Row],[Discount]]/100)</f>
        <v>12228.44</v>
      </c>
    </row>
    <row r="258" spans="1:12" x14ac:dyDescent="0.55000000000000004">
      <c r="A258" t="s">
        <v>287</v>
      </c>
      <c r="B258" s="2">
        <v>45156</v>
      </c>
      <c r="C258" t="s">
        <v>31</v>
      </c>
      <c r="D258" t="s">
        <v>16</v>
      </c>
      <c r="E258" t="s">
        <v>11</v>
      </c>
      <c r="F258" t="s">
        <v>38</v>
      </c>
      <c r="G258">
        <v>40663</v>
      </c>
      <c r="H258">
        <v>2</v>
      </c>
      <c r="I258">
        <v>29</v>
      </c>
      <c r="J258" t="s">
        <v>25</v>
      </c>
      <c r="K258" s="4">
        <f>Table1[[#This Row],[Sales]]*Table1[[#This Row],[Quantity]]</f>
        <v>81326</v>
      </c>
      <c r="L258" s="4">
        <f>Table1[[#This Row],[Revenue]]-(Table1[[#This Row],[Revenue]]*Table1[[#This Row],[Discount]]/100)</f>
        <v>57741.46</v>
      </c>
    </row>
    <row r="259" spans="1:12" x14ac:dyDescent="0.55000000000000004">
      <c r="A259" t="s">
        <v>288</v>
      </c>
      <c r="B259" s="2">
        <v>45169</v>
      </c>
      <c r="C259" t="s">
        <v>15</v>
      </c>
      <c r="D259" t="s">
        <v>20</v>
      </c>
      <c r="E259" t="s">
        <v>11</v>
      </c>
      <c r="F259" t="s">
        <v>44</v>
      </c>
      <c r="G259">
        <v>34855</v>
      </c>
      <c r="H259">
        <v>5</v>
      </c>
      <c r="I259">
        <v>8</v>
      </c>
      <c r="J259" t="s">
        <v>13</v>
      </c>
      <c r="K259" s="4">
        <f>Table1[[#This Row],[Sales]]*Table1[[#This Row],[Quantity]]</f>
        <v>174275</v>
      </c>
      <c r="L259" s="4">
        <f>Table1[[#This Row],[Revenue]]-(Table1[[#This Row],[Revenue]]*Table1[[#This Row],[Discount]]/100)</f>
        <v>160333</v>
      </c>
    </row>
    <row r="260" spans="1:12" x14ac:dyDescent="0.55000000000000004">
      <c r="A260" t="s">
        <v>289</v>
      </c>
      <c r="B260" s="2">
        <v>45092</v>
      </c>
      <c r="C260" t="s">
        <v>31</v>
      </c>
      <c r="D260" t="s">
        <v>16</v>
      </c>
      <c r="E260" t="s">
        <v>17</v>
      </c>
      <c r="F260" t="s">
        <v>29</v>
      </c>
      <c r="G260">
        <v>35895</v>
      </c>
      <c r="H260">
        <v>1</v>
      </c>
      <c r="I260">
        <v>5</v>
      </c>
      <c r="J260" t="s">
        <v>13</v>
      </c>
      <c r="K260" s="4">
        <f>Table1[[#This Row],[Sales]]*Table1[[#This Row],[Quantity]]</f>
        <v>35895</v>
      </c>
      <c r="L260" s="4">
        <f>Table1[[#This Row],[Revenue]]-(Table1[[#This Row],[Revenue]]*Table1[[#This Row],[Discount]]/100)</f>
        <v>34100.25</v>
      </c>
    </row>
    <row r="261" spans="1:12" x14ac:dyDescent="0.55000000000000004">
      <c r="A261" t="s">
        <v>290</v>
      </c>
      <c r="B261" s="2">
        <v>45233</v>
      </c>
      <c r="C261" t="s">
        <v>19</v>
      </c>
      <c r="D261" t="s">
        <v>46</v>
      </c>
      <c r="E261" t="s">
        <v>11</v>
      </c>
      <c r="F261" t="s">
        <v>29</v>
      </c>
      <c r="G261">
        <v>45678</v>
      </c>
      <c r="H261">
        <v>7</v>
      </c>
      <c r="I261">
        <v>24</v>
      </c>
      <c r="J261" t="s">
        <v>22</v>
      </c>
      <c r="K261" s="4">
        <f>Table1[[#This Row],[Sales]]*Table1[[#This Row],[Quantity]]</f>
        <v>319746</v>
      </c>
      <c r="L261" s="4">
        <f>Table1[[#This Row],[Revenue]]-(Table1[[#This Row],[Revenue]]*Table1[[#This Row],[Discount]]/100)</f>
        <v>243006.96000000002</v>
      </c>
    </row>
    <row r="262" spans="1:12" x14ac:dyDescent="0.55000000000000004">
      <c r="A262" t="s">
        <v>291</v>
      </c>
      <c r="B262" s="2">
        <v>45043</v>
      </c>
      <c r="C262" t="s">
        <v>15</v>
      </c>
      <c r="D262" t="s">
        <v>20</v>
      </c>
      <c r="E262" t="s">
        <v>17</v>
      </c>
      <c r="F262" t="s">
        <v>21</v>
      </c>
      <c r="G262">
        <v>5124</v>
      </c>
      <c r="H262">
        <v>2</v>
      </c>
      <c r="I262">
        <v>14</v>
      </c>
      <c r="J262" t="s">
        <v>13</v>
      </c>
      <c r="K262" s="4">
        <f>Table1[[#This Row],[Sales]]*Table1[[#This Row],[Quantity]]</f>
        <v>10248</v>
      </c>
      <c r="L262" s="4">
        <f>Table1[[#This Row],[Revenue]]-(Table1[[#This Row],[Revenue]]*Table1[[#This Row],[Discount]]/100)</f>
        <v>8813.2800000000007</v>
      </c>
    </row>
    <row r="263" spans="1:12" x14ac:dyDescent="0.55000000000000004">
      <c r="A263" t="s">
        <v>292</v>
      </c>
      <c r="B263" s="2">
        <v>45162</v>
      </c>
      <c r="C263" t="s">
        <v>19</v>
      </c>
      <c r="D263" t="s">
        <v>16</v>
      </c>
      <c r="E263" t="s">
        <v>11</v>
      </c>
      <c r="F263" t="s">
        <v>34</v>
      </c>
      <c r="G263">
        <v>31955</v>
      </c>
      <c r="H263">
        <v>7</v>
      </c>
      <c r="I263">
        <v>19</v>
      </c>
      <c r="J263" t="s">
        <v>25</v>
      </c>
      <c r="K263" s="4">
        <f>Table1[[#This Row],[Sales]]*Table1[[#This Row],[Quantity]]</f>
        <v>223685</v>
      </c>
      <c r="L263" s="4">
        <f>Table1[[#This Row],[Revenue]]-(Table1[[#This Row],[Revenue]]*Table1[[#This Row],[Discount]]/100)</f>
        <v>181184.85</v>
      </c>
    </row>
    <row r="264" spans="1:12" x14ac:dyDescent="0.55000000000000004">
      <c r="A264" t="s">
        <v>293</v>
      </c>
      <c r="B264" s="2">
        <v>45206</v>
      </c>
      <c r="C264" t="s">
        <v>31</v>
      </c>
      <c r="D264" t="s">
        <v>27</v>
      </c>
      <c r="E264" t="s">
        <v>17</v>
      </c>
      <c r="F264" t="s">
        <v>48</v>
      </c>
      <c r="G264">
        <v>11769</v>
      </c>
      <c r="H264">
        <v>9</v>
      </c>
      <c r="I264">
        <v>4</v>
      </c>
      <c r="J264" t="s">
        <v>22</v>
      </c>
      <c r="K264" s="4">
        <f>Table1[[#This Row],[Sales]]*Table1[[#This Row],[Quantity]]</f>
        <v>105921</v>
      </c>
      <c r="L264" s="4">
        <f>Table1[[#This Row],[Revenue]]-(Table1[[#This Row],[Revenue]]*Table1[[#This Row],[Discount]]/100)</f>
        <v>101684.16</v>
      </c>
    </row>
    <row r="265" spans="1:12" x14ac:dyDescent="0.55000000000000004">
      <c r="A265" t="s">
        <v>294</v>
      </c>
      <c r="B265" s="2">
        <v>45023</v>
      </c>
      <c r="C265" t="s">
        <v>19</v>
      </c>
      <c r="D265" t="s">
        <v>20</v>
      </c>
      <c r="E265" t="s">
        <v>11</v>
      </c>
      <c r="F265" t="s">
        <v>29</v>
      </c>
      <c r="G265">
        <v>25182</v>
      </c>
      <c r="H265">
        <v>2</v>
      </c>
      <c r="I265">
        <v>28</v>
      </c>
      <c r="J265" t="s">
        <v>13</v>
      </c>
      <c r="K265" s="4">
        <f>Table1[[#This Row],[Sales]]*Table1[[#This Row],[Quantity]]</f>
        <v>50364</v>
      </c>
      <c r="L265" s="4">
        <f>Table1[[#This Row],[Revenue]]-(Table1[[#This Row],[Revenue]]*Table1[[#This Row],[Discount]]/100)</f>
        <v>36262.080000000002</v>
      </c>
    </row>
    <row r="266" spans="1:12" x14ac:dyDescent="0.55000000000000004">
      <c r="A266" t="s">
        <v>295</v>
      </c>
      <c r="B266" s="2">
        <v>45187</v>
      </c>
      <c r="C266" t="s">
        <v>24</v>
      </c>
      <c r="D266" t="s">
        <v>20</v>
      </c>
      <c r="E266" t="s">
        <v>17</v>
      </c>
      <c r="F266" t="s">
        <v>29</v>
      </c>
      <c r="G266">
        <v>3322</v>
      </c>
      <c r="H266">
        <v>5</v>
      </c>
      <c r="I266">
        <v>9</v>
      </c>
      <c r="J266" t="s">
        <v>22</v>
      </c>
      <c r="K266" s="4">
        <f>Table1[[#This Row],[Sales]]*Table1[[#This Row],[Quantity]]</f>
        <v>16610</v>
      </c>
      <c r="L266" s="4">
        <f>Table1[[#This Row],[Revenue]]-(Table1[[#This Row],[Revenue]]*Table1[[#This Row],[Discount]]/100)</f>
        <v>15115.1</v>
      </c>
    </row>
    <row r="267" spans="1:12" x14ac:dyDescent="0.55000000000000004">
      <c r="A267" t="s">
        <v>296</v>
      </c>
      <c r="B267" s="2">
        <v>44945</v>
      </c>
      <c r="C267" t="s">
        <v>24</v>
      </c>
      <c r="D267" t="s">
        <v>37</v>
      </c>
      <c r="E267" t="s">
        <v>11</v>
      </c>
      <c r="F267" t="s">
        <v>21</v>
      </c>
      <c r="G267">
        <v>32484</v>
      </c>
      <c r="H267">
        <v>7</v>
      </c>
      <c r="I267">
        <v>19</v>
      </c>
      <c r="J267" t="s">
        <v>13</v>
      </c>
      <c r="K267" s="4">
        <f>Table1[[#This Row],[Sales]]*Table1[[#This Row],[Quantity]]</f>
        <v>227388</v>
      </c>
      <c r="L267" s="4">
        <f>Table1[[#This Row],[Revenue]]-(Table1[[#This Row],[Revenue]]*Table1[[#This Row],[Discount]]/100)</f>
        <v>184184.28</v>
      </c>
    </row>
    <row r="268" spans="1:12" x14ac:dyDescent="0.55000000000000004">
      <c r="A268" t="s">
        <v>297</v>
      </c>
      <c r="B268" s="2">
        <v>45158</v>
      </c>
      <c r="C268" t="s">
        <v>15</v>
      </c>
      <c r="D268" t="s">
        <v>37</v>
      </c>
      <c r="E268" t="s">
        <v>17</v>
      </c>
      <c r="F268" t="s">
        <v>21</v>
      </c>
      <c r="G268">
        <v>41914</v>
      </c>
      <c r="H268">
        <v>8</v>
      </c>
      <c r="I268">
        <v>15</v>
      </c>
      <c r="J268" t="s">
        <v>25</v>
      </c>
      <c r="K268" s="4">
        <f>Table1[[#This Row],[Sales]]*Table1[[#This Row],[Quantity]]</f>
        <v>335312</v>
      </c>
      <c r="L268" s="4">
        <f>Table1[[#This Row],[Revenue]]-(Table1[[#This Row],[Revenue]]*Table1[[#This Row],[Discount]]/100)</f>
        <v>285015.2</v>
      </c>
    </row>
    <row r="269" spans="1:12" x14ac:dyDescent="0.55000000000000004">
      <c r="A269" t="s">
        <v>298</v>
      </c>
      <c r="B269" s="2">
        <v>45154</v>
      </c>
      <c r="C269" t="s">
        <v>15</v>
      </c>
      <c r="D269" t="s">
        <v>16</v>
      </c>
      <c r="E269" t="s">
        <v>11</v>
      </c>
      <c r="F269" t="s">
        <v>48</v>
      </c>
      <c r="G269">
        <v>13584</v>
      </c>
      <c r="H269">
        <v>10</v>
      </c>
      <c r="I269">
        <v>17</v>
      </c>
      <c r="J269" t="s">
        <v>13</v>
      </c>
      <c r="K269" s="4">
        <f>Table1[[#This Row],[Sales]]*Table1[[#This Row],[Quantity]]</f>
        <v>135840</v>
      </c>
      <c r="L269" s="4">
        <f>Table1[[#This Row],[Revenue]]-(Table1[[#This Row],[Revenue]]*Table1[[#This Row],[Discount]]/100)</f>
        <v>112747.2</v>
      </c>
    </row>
    <row r="270" spans="1:12" x14ac:dyDescent="0.55000000000000004">
      <c r="A270" t="s">
        <v>299</v>
      </c>
      <c r="B270" s="2">
        <v>45211</v>
      </c>
      <c r="C270" t="s">
        <v>24</v>
      </c>
      <c r="D270" t="s">
        <v>37</v>
      </c>
      <c r="E270" t="s">
        <v>11</v>
      </c>
      <c r="F270" t="s">
        <v>44</v>
      </c>
      <c r="G270">
        <v>34802</v>
      </c>
      <c r="H270">
        <v>2</v>
      </c>
      <c r="I270">
        <v>27</v>
      </c>
      <c r="J270" t="s">
        <v>13</v>
      </c>
      <c r="K270" s="4">
        <f>Table1[[#This Row],[Sales]]*Table1[[#This Row],[Quantity]]</f>
        <v>69604</v>
      </c>
      <c r="L270" s="4">
        <f>Table1[[#This Row],[Revenue]]-(Table1[[#This Row],[Revenue]]*Table1[[#This Row],[Discount]]/100)</f>
        <v>50810.92</v>
      </c>
    </row>
    <row r="271" spans="1:12" x14ac:dyDescent="0.55000000000000004">
      <c r="A271" t="s">
        <v>300</v>
      </c>
      <c r="B271" s="2">
        <v>44979</v>
      </c>
      <c r="C271" t="s">
        <v>31</v>
      </c>
      <c r="D271" t="s">
        <v>37</v>
      </c>
      <c r="E271" t="s">
        <v>11</v>
      </c>
      <c r="F271" t="s">
        <v>38</v>
      </c>
      <c r="G271">
        <v>3826</v>
      </c>
      <c r="H271">
        <v>4</v>
      </c>
      <c r="I271">
        <v>15</v>
      </c>
      <c r="J271" t="s">
        <v>25</v>
      </c>
      <c r="K271" s="4">
        <f>Table1[[#This Row],[Sales]]*Table1[[#This Row],[Quantity]]</f>
        <v>15304</v>
      </c>
      <c r="L271" s="4">
        <f>Table1[[#This Row],[Revenue]]-(Table1[[#This Row],[Revenue]]*Table1[[#This Row],[Discount]]/100)</f>
        <v>13008.4</v>
      </c>
    </row>
    <row r="272" spans="1:12" x14ac:dyDescent="0.55000000000000004">
      <c r="A272" t="s">
        <v>301</v>
      </c>
      <c r="B272" s="2">
        <v>44944</v>
      </c>
      <c r="C272" t="s">
        <v>15</v>
      </c>
      <c r="D272" t="s">
        <v>37</v>
      </c>
      <c r="E272" t="s">
        <v>17</v>
      </c>
      <c r="F272" t="s">
        <v>38</v>
      </c>
      <c r="G272">
        <v>6891</v>
      </c>
      <c r="H272">
        <v>3</v>
      </c>
      <c r="I272">
        <v>22</v>
      </c>
      <c r="J272" t="s">
        <v>25</v>
      </c>
      <c r="K272" s="4">
        <f>Table1[[#This Row],[Sales]]*Table1[[#This Row],[Quantity]]</f>
        <v>20673</v>
      </c>
      <c r="L272" s="4">
        <f>Table1[[#This Row],[Revenue]]-(Table1[[#This Row],[Revenue]]*Table1[[#This Row],[Discount]]/100)</f>
        <v>16124.939999999999</v>
      </c>
    </row>
    <row r="273" spans="1:12" x14ac:dyDescent="0.55000000000000004">
      <c r="A273" t="s">
        <v>302</v>
      </c>
      <c r="B273" s="2">
        <v>44946</v>
      </c>
      <c r="C273" t="s">
        <v>24</v>
      </c>
      <c r="D273" t="s">
        <v>37</v>
      </c>
      <c r="E273" t="s">
        <v>17</v>
      </c>
      <c r="F273" t="s">
        <v>44</v>
      </c>
      <c r="G273">
        <v>33042</v>
      </c>
      <c r="H273">
        <v>8</v>
      </c>
      <c r="I273">
        <v>6</v>
      </c>
      <c r="J273" t="s">
        <v>25</v>
      </c>
      <c r="K273" s="4">
        <f>Table1[[#This Row],[Sales]]*Table1[[#This Row],[Quantity]]</f>
        <v>264336</v>
      </c>
      <c r="L273" s="4">
        <f>Table1[[#This Row],[Revenue]]-(Table1[[#This Row],[Revenue]]*Table1[[#This Row],[Discount]]/100)</f>
        <v>248475.84</v>
      </c>
    </row>
    <row r="274" spans="1:12" x14ac:dyDescent="0.55000000000000004">
      <c r="A274" t="s">
        <v>303</v>
      </c>
      <c r="B274" s="2">
        <v>44949</v>
      </c>
      <c r="C274" t="s">
        <v>19</v>
      </c>
      <c r="D274" t="s">
        <v>20</v>
      </c>
      <c r="E274" t="s">
        <v>11</v>
      </c>
      <c r="F274" t="s">
        <v>38</v>
      </c>
      <c r="G274">
        <v>12500</v>
      </c>
      <c r="H274">
        <v>10</v>
      </c>
      <c r="I274">
        <v>23</v>
      </c>
      <c r="J274" t="s">
        <v>25</v>
      </c>
      <c r="K274" s="4">
        <f>Table1[[#This Row],[Sales]]*Table1[[#This Row],[Quantity]]</f>
        <v>125000</v>
      </c>
      <c r="L274" s="4">
        <f>Table1[[#This Row],[Revenue]]-(Table1[[#This Row],[Revenue]]*Table1[[#This Row],[Discount]]/100)</f>
        <v>96250</v>
      </c>
    </row>
    <row r="275" spans="1:12" x14ac:dyDescent="0.55000000000000004">
      <c r="A275" t="s">
        <v>304</v>
      </c>
      <c r="B275" s="2">
        <v>44995</v>
      </c>
      <c r="C275" t="s">
        <v>31</v>
      </c>
      <c r="D275" t="s">
        <v>46</v>
      </c>
      <c r="E275" t="s">
        <v>11</v>
      </c>
      <c r="F275" t="s">
        <v>38</v>
      </c>
      <c r="G275">
        <v>3793</v>
      </c>
      <c r="H275">
        <v>5</v>
      </c>
      <c r="I275">
        <v>1</v>
      </c>
      <c r="J275" t="s">
        <v>13</v>
      </c>
      <c r="K275" s="4">
        <f>Table1[[#This Row],[Sales]]*Table1[[#This Row],[Quantity]]</f>
        <v>18965</v>
      </c>
      <c r="L275" s="4">
        <f>Table1[[#This Row],[Revenue]]-(Table1[[#This Row],[Revenue]]*Table1[[#This Row],[Discount]]/100)</f>
        <v>18775.349999999999</v>
      </c>
    </row>
    <row r="276" spans="1:12" x14ac:dyDescent="0.55000000000000004">
      <c r="A276" t="s">
        <v>305</v>
      </c>
      <c r="B276" s="2">
        <v>45058</v>
      </c>
      <c r="C276" t="s">
        <v>24</v>
      </c>
      <c r="D276" t="s">
        <v>16</v>
      </c>
      <c r="E276" t="s">
        <v>11</v>
      </c>
      <c r="F276" t="s">
        <v>34</v>
      </c>
      <c r="G276">
        <v>37250</v>
      </c>
      <c r="H276">
        <v>10</v>
      </c>
      <c r="I276">
        <v>22</v>
      </c>
      <c r="J276" t="s">
        <v>13</v>
      </c>
      <c r="K276" s="4">
        <f>Table1[[#This Row],[Sales]]*Table1[[#This Row],[Quantity]]</f>
        <v>372500</v>
      </c>
      <c r="L276" s="4">
        <f>Table1[[#This Row],[Revenue]]-(Table1[[#This Row],[Revenue]]*Table1[[#This Row],[Discount]]/100)</f>
        <v>290550</v>
      </c>
    </row>
    <row r="277" spans="1:12" x14ac:dyDescent="0.55000000000000004">
      <c r="A277" t="s">
        <v>306</v>
      </c>
      <c r="B277" s="2">
        <v>45224</v>
      </c>
      <c r="C277" t="s">
        <v>24</v>
      </c>
      <c r="D277" t="s">
        <v>20</v>
      </c>
      <c r="E277" t="s">
        <v>17</v>
      </c>
      <c r="F277" t="s">
        <v>29</v>
      </c>
      <c r="G277">
        <v>662</v>
      </c>
      <c r="H277">
        <v>4</v>
      </c>
      <c r="I277">
        <v>26</v>
      </c>
      <c r="J277" t="s">
        <v>13</v>
      </c>
      <c r="K277" s="4">
        <f>Table1[[#This Row],[Sales]]*Table1[[#This Row],[Quantity]]</f>
        <v>2648</v>
      </c>
      <c r="L277" s="4">
        <f>Table1[[#This Row],[Revenue]]-(Table1[[#This Row],[Revenue]]*Table1[[#This Row],[Discount]]/100)</f>
        <v>1959.52</v>
      </c>
    </row>
    <row r="278" spans="1:12" x14ac:dyDescent="0.55000000000000004">
      <c r="A278" t="s">
        <v>307</v>
      </c>
      <c r="B278" s="2">
        <v>45102</v>
      </c>
      <c r="C278" t="s">
        <v>24</v>
      </c>
      <c r="D278" t="s">
        <v>37</v>
      </c>
      <c r="E278" t="s">
        <v>17</v>
      </c>
      <c r="F278" t="s">
        <v>44</v>
      </c>
      <c r="G278">
        <v>20509</v>
      </c>
      <c r="H278">
        <v>7</v>
      </c>
      <c r="I278">
        <v>26</v>
      </c>
      <c r="J278" t="s">
        <v>13</v>
      </c>
      <c r="K278" s="4">
        <f>Table1[[#This Row],[Sales]]*Table1[[#This Row],[Quantity]]</f>
        <v>143563</v>
      </c>
      <c r="L278" s="4">
        <f>Table1[[#This Row],[Revenue]]-(Table1[[#This Row],[Revenue]]*Table1[[#This Row],[Discount]]/100)</f>
        <v>106236.62</v>
      </c>
    </row>
    <row r="279" spans="1:12" x14ac:dyDescent="0.55000000000000004">
      <c r="A279" t="s">
        <v>308</v>
      </c>
      <c r="B279" s="2">
        <v>45281</v>
      </c>
      <c r="C279" t="s">
        <v>15</v>
      </c>
      <c r="D279" t="s">
        <v>37</v>
      </c>
      <c r="E279" t="s">
        <v>11</v>
      </c>
      <c r="F279" t="s">
        <v>44</v>
      </c>
      <c r="G279">
        <v>28946</v>
      </c>
      <c r="H279">
        <v>10</v>
      </c>
      <c r="I279">
        <v>10</v>
      </c>
      <c r="J279" t="s">
        <v>22</v>
      </c>
      <c r="K279" s="4">
        <f>Table1[[#This Row],[Sales]]*Table1[[#This Row],[Quantity]]</f>
        <v>289460</v>
      </c>
      <c r="L279" s="4">
        <f>Table1[[#This Row],[Revenue]]-(Table1[[#This Row],[Revenue]]*Table1[[#This Row],[Discount]]/100)</f>
        <v>260514</v>
      </c>
    </row>
    <row r="280" spans="1:12" x14ac:dyDescent="0.55000000000000004">
      <c r="A280" t="s">
        <v>309</v>
      </c>
      <c r="B280" s="2">
        <v>45101</v>
      </c>
      <c r="C280" t="s">
        <v>19</v>
      </c>
      <c r="D280" t="s">
        <v>27</v>
      </c>
      <c r="E280" t="s">
        <v>17</v>
      </c>
      <c r="F280" t="s">
        <v>34</v>
      </c>
      <c r="G280">
        <v>26239</v>
      </c>
      <c r="H280">
        <v>5</v>
      </c>
      <c r="I280">
        <v>7</v>
      </c>
      <c r="J280" t="s">
        <v>22</v>
      </c>
      <c r="K280" s="4">
        <f>Table1[[#This Row],[Sales]]*Table1[[#This Row],[Quantity]]</f>
        <v>131195</v>
      </c>
      <c r="L280" s="4">
        <f>Table1[[#This Row],[Revenue]]-(Table1[[#This Row],[Revenue]]*Table1[[#This Row],[Discount]]/100)</f>
        <v>122011.35</v>
      </c>
    </row>
    <row r="281" spans="1:12" x14ac:dyDescent="0.55000000000000004">
      <c r="A281" t="s">
        <v>310</v>
      </c>
      <c r="B281" s="2">
        <v>45132</v>
      </c>
      <c r="C281" t="s">
        <v>19</v>
      </c>
      <c r="D281" t="s">
        <v>20</v>
      </c>
      <c r="E281" t="s">
        <v>17</v>
      </c>
      <c r="F281" t="s">
        <v>21</v>
      </c>
      <c r="G281">
        <v>32619</v>
      </c>
      <c r="H281">
        <v>4</v>
      </c>
      <c r="I281">
        <v>14</v>
      </c>
      <c r="J281" t="s">
        <v>13</v>
      </c>
      <c r="K281" s="4">
        <f>Table1[[#This Row],[Sales]]*Table1[[#This Row],[Quantity]]</f>
        <v>130476</v>
      </c>
      <c r="L281" s="4">
        <f>Table1[[#This Row],[Revenue]]-(Table1[[#This Row],[Revenue]]*Table1[[#This Row],[Discount]]/100)</f>
        <v>112209.36</v>
      </c>
    </row>
    <row r="282" spans="1:12" x14ac:dyDescent="0.55000000000000004">
      <c r="A282" t="s">
        <v>311</v>
      </c>
      <c r="B282" s="2">
        <v>45208</v>
      </c>
      <c r="C282" t="s">
        <v>19</v>
      </c>
      <c r="D282" t="s">
        <v>16</v>
      </c>
      <c r="E282" t="s">
        <v>17</v>
      </c>
      <c r="F282" t="s">
        <v>34</v>
      </c>
      <c r="G282">
        <v>18479</v>
      </c>
      <c r="H282">
        <v>7</v>
      </c>
      <c r="I282">
        <v>26</v>
      </c>
      <c r="J282" t="s">
        <v>13</v>
      </c>
      <c r="K282" s="4">
        <f>Table1[[#This Row],[Sales]]*Table1[[#This Row],[Quantity]]</f>
        <v>129353</v>
      </c>
      <c r="L282" s="4">
        <f>Table1[[#This Row],[Revenue]]-(Table1[[#This Row],[Revenue]]*Table1[[#This Row],[Discount]]/100)</f>
        <v>95721.22</v>
      </c>
    </row>
    <row r="283" spans="1:12" x14ac:dyDescent="0.55000000000000004">
      <c r="A283" t="s">
        <v>312</v>
      </c>
      <c r="B283" s="2">
        <v>45153</v>
      </c>
      <c r="C283" t="s">
        <v>19</v>
      </c>
      <c r="D283" t="s">
        <v>27</v>
      </c>
      <c r="E283" t="s">
        <v>11</v>
      </c>
      <c r="F283" t="s">
        <v>44</v>
      </c>
      <c r="G283">
        <v>2602</v>
      </c>
      <c r="H283">
        <v>8</v>
      </c>
      <c r="I283">
        <v>0</v>
      </c>
      <c r="J283" t="s">
        <v>13</v>
      </c>
      <c r="K283" s="4">
        <f>Table1[[#This Row],[Sales]]*Table1[[#This Row],[Quantity]]</f>
        <v>20816</v>
      </c>
      <c r="L283" s="4">
        <f>Table1[[#This Row],[Revenue]]-(Table1[[#This Row],[Revenue]]*Table1[[#This Row],[Discount]]/100)</f>
        <v>20816</v>
      </c>
    </row>
    <row r="284" spans="1:12" x14ac:dyDescent="0.55000000000000004">
      <c r="A284" t="s">
        <v>313</v>
      </c>
      <c r="B284" s="2">
        <v>45256</v>
      </c>
      <c r="C284" t="s">
        <v>15</v>
      </c>
      <c r="D284" t="s">
        <v>27</v>
      </c>
      <c r="E284" t="s">
        <v>11</v>
      </c>
      <c r="F284" t="s">
        <v>48</v>
      </c>
      <c r="G284">
        <v>3468</v>
      </c>
      <c r="H284">
        <v>1</v>
      </c>
      <c r="I284">
        <v>21</v>
      </c>
      <c r="J284" t="s">
        <v>22</v>
      </c>
      <c r="K284" s="4">
        <f>Table1[[#This Row],[Sales]]*Table1[[#This Row],[Quantity]]</f>
        <v>3468</v>
      </c>
      <c r="L284" s="4">
        <f>Table1[[#This Row],[Revenue]]-(Table1[[#This Row],[Revenue]]*Table1[[#This Row],[Discount]]/100)</f>
        <v>2739.7200000000003</v>
      </c>
    </row>
    <row r="285" spans="1:12" x14ac:dyDescent="0.55000000000000004">
      <c r="A285" t="s">
        <v>314</v>
      </c>
      <c r="B285" s="2">
        <v>45027</v>
      </c>
      <c r="C285" t="s">
        <v>19</v>
      </c>
      <c r="D285" t="s">
        <v>37</v>
      </c>
      <c r="E285" t="s">
        <v>11</v>
      </c>
      <c r="F285" t="s">
        <v>12</v>
      </c>
      <c r="G285">
        <v>41255</v>
      </c>
      <c r="H285">
        <v>2</v>
      </c>
      <c r="I285">
        <v>19</v>
      </c>
      <c r="J285" t="s">
        <v>13</v>
      </c>
      <c r="K285" s="4">
        <f>Table1[[#This Row],[Sales]]*Table1[[#This Row],[Quantity]]</f>
        <v>82510</v>
      </c>
      <c r="L285" s="4">
        <f>Table1[[#This Row],[Revenue]]-(Table1[[#This Row],[Revenue]]*Table1[[#This Row],[Discount]]/100)</f>
        <v>66833.100000000006</v>
      </c>
    </row>
    <row r="286" spans="1:12" x14ac:dyDescent="0.55000000000000004">
      <c r="A286" t="s">
        <v>315</v>
      </c>
      <c r="B286" s="2">
        <v>45008</v>
      </c>
      <c r="C286" t="s">
        <v>19</v>
      </c>
      <c r="D286" t="s">
        <v>20</v>
      </c>
      <c r="E286" t="s">
        <v>11</v>
      </c>
      <c r="F286" t="s">
        <v>48</v>
      </c>
      <c r="G286">
        <v>32459</v>
      </c>
      <c r="H286">
        <v>7</v>
      </c>
      <c r="I286">
        <v>26</v>
      </c>
      <c r="J286" t="s">
        <v>22</v>
      </c>
      <c r="K286" s="4">
        <f>Table1[[#This Row],[Sales]]*Table1[[#This Row],[Quantity]]</f>
        <v>227213</v>
      </c>
      <c r="L286" s="4">
        <f>Table1[[#This Row],[Revenue]]-(Table1[[#This Row],[Revenue]]*Table1[[#This Row],[Discount]]/100)</f>
        <v>168137.62</v>
      </c>
    </row>
    <row r="287" spans="1:12" x14ac:dyDescent="0.55000000000000004">
      <c r="A287" t="s">
        <v>316</v>
      </c>
      <c r="B287" s="2">
        <v>45221</v>
      </c>
      <c r="C287" t="s">
        <v>24</v>
      </c>
      <c r="D287" t="s">
        <v>16</v>
      </c>
      <c r="E287" t="s">
        <v>17</v>
      </c>
      <c r="F287" t="s">
        <v>38</v>
      </c>
      <c r="G287">
        <v>19448</v>
      </c>
      <c r="H287">
        <v>10</v>
      </c>
      <c r="I287">
        <v>29</v>
      </c>
      <c r="J287" t="s">
        <v>22</v>
      </c>
      <c r="K287" s="4">
        <f>Table1[[#This Row],[Sales]]*Table1[[#This Row],[Quantity]]</f>
        <v>194480</v>
      </c>
      <c r="L287" s="4">
        <f>Table1[[#This Row],[Revenue]]-(Table1[[#This Row],[Revenue]]*Table1[[#This Row],[Discount]]/100)</f>
        <v>138080.79999999999</v>
      </c>
    </row>
    <row r="288" spans="1:12" x14ac:dyDescent="0.55000000000000004">
      <c r="A288" t="s">
        <v>317</v>
      </c>
      <c r="B288" s="2">
        <v>45279</v>
      </c>
      <c r="C288" t="s">
        <v>15</v>
      </c>
      <c r="D288" t="s">
        <v>16</v>
      </c>
      <c r="E288" t="s">
        <v>17</v>
      </c>
      <c r="F288" t="s">
        <v>21</v>
      </c>
      <c r="G288">
        <v>37754</v>
      </c>
      <c r="H288">
        <v>10</v>
      </c>
      <c r="I288">
        <v>1</v>
      </c>
      <c r="J288" t="s">
        <v>22</v>
      </c>
      <c r="K288" s="4">
        <f>Table1[[#This Row],[Sales]]*Table1[[#This Row],[Quantity]]</f>
        <v>377540</v>
      </c>
      <c r="L288" s="4">
        <f>Table1[[#This Row],[Revenue]]-(Table1[[#This Row],[Revenue]]*Table1[[#This Row],[Discount]]/100)</f>
        <v>373764.6</v>
      </c>
    </row>
    <row r="289" spans="1:12" x14ac:dyDescent="0.55000000000000004">
      <c r="A289" t="s">
        <v>318</v>
      </c>
      <c r="B289" s="2">
        <v>45242</v>
      </c>
      <c r="C289" t="s">
        <v>15</v>
      </c>
      <c r="D289" t="s">
        <v>46</v>
      </c>
      <c r="E289" t="s">
        <v>17</v>
      </c>
      <c r="F289" t="s">
        <v>29</v>
      </c>
      <c r="G289">
        <v>31035</v>
      </c>
      <c r="H289">
        <v>10</v>
      </c>
      <c r="I289">
        <v>25</v>
      </c>
      <c r="J289" t="s">
        <v>13</v>
      </c>
      <c r="K289" s="4">
        <f>Table1[[#This Row],[Sales]]*Table1[[#This Row],[Quantity]]</f>
        <v>310350</v>
      </c>
      <c r="L289" s="4">
        <f>Table1[[#This Row],[Revenue]]-(Table1[[#This Row],[Revenue]]*Table1[[#This Row],[Discount]]/100)</f>
        <v>232762.5</v>
      </c>
    </row>
    <row r="290" spans="1:12" x14ac:dyDescent="0.55000000000000004">
      <c r="A290" t="s">
        <v>319</v>
      </c>
      <c r="B290" s="2">
        <v>45113</v>
      </c>
      <c r="C290" t="s">
        <v>24</v>
      </c>
      <c r="D290" t="s">
        <v>27</v>
      </c>
      <c r="E290" t="s">
        <v>11</v>
      </c>
      <c r="F290" t="s">
        <v>44</v>
      </c>
      <c r="G290">
        <v>40440</v>
      </c>
      <c r="H290">
        <v>10</v>
      </c>
      <c r="I290">
        <v>2</v>
      </c>
      <c r="J290" t="s">
        <v>25</v>
      </c>
      <c r="K290" s="4">
        <f>Table1[[#This Row],[Sales]]*Table1[[#This Row],[Quantity]]</f>
        <v>404400</v>
      </c>
      <c r="L290" s="4">
        <f>Table1[[#This Row],[Revenue]]-(Table1[[#This Row],[Revenue]]*Table1[[#This Row],[Discount]]/100)</f>
        <v>396312</v>
      </c>
    </row>
    <row r="291" spans="1:12" x14ac:dyDescent="0.55000000000000004">
      <c r="A291" t="s">
        <v>320</v>
      </c>
      <c r="B291" s="2">
        <v>45067</v>
      </c>
      <c r="C291" t="s">
        <v>19</v>
      </c>
      <c r="D291" t="s">
        <v>27</v>
      </c>
      <c r="E291" t="s">
        <v>11</v>
      </c>
      <c r="F291" t="s">
        <v>48</v>
      </c>
      <c r="G291">
        <v>41221</v>
      </c>
      <c r="H291">
        <v>1</v>
      </c>
      <c r="I291">
        <v>23</v>
      </c>
      <c r="J291" t="s">
        <v>13</v>
      </c>
      <c r="K291" s="4">
        <f>Table1[[#This Row],[Sales]]*Table1[[#This Row],[Quantity]]</f>
        <v>41221</v>
      </c>
      <c r="L291" s="4">
        <f>Table1[[#This Row],[Revenue]]-(Table1[[#This Row],[Revenue]]*Table1[[#This Row],[Discount]]/100)</f>
        <v>31740.17</v>
      </c>
    </row>
    <row r="292" spans="1:12" x14ac:dyDescent="0.55000000000000004">
      <c r="A292" t="s">
        <v>321</v>
      </c>
      <c r="B292" s="2">
        <v>45274</v>
      </c>
      <c r="C292" t="s">
        <v>19</v>
      </c>
      <c r="D292" t="s">
        <v>37</v>
      </c>
      <c r="E292" t="s">
        <v>17</v>
      </c>
      <c r="F292" t="s">
        <v>38</v>
      </c>
      <c r="G292">
        <v>22183</v>
      </c>
      <c r="H292">
        <v>5</v>
      </c>
      <c r="I292">
        <v>8</v>
      </c>
      <c r="J292" t="s">
        <v>25</v>
      </c>
      <c r="K292" s="4">
        <f>Table1[[#This Row],[Sales]]*Table1[[#This Row],[Quantity]]</f>
        <v>110915</v>
      </c>
      <c r="L292" s="4">
        <f>Table1[[#This Row],[Revenue]]-(Table1[[#This Row],[Revenue]]*Table1[[#This Row],[Discount]]/100)</f>
        <v>102041.8</v>
      </c>
    </row>
    <row r="293" spans="1:12" x14ac:dyDescent="0.55000000000000004">
      <c r="A293" t="s">
        <v>322</v>
      </c>
      <c r="B293" s="2">
        <v>45146</v>
      </c>
      <c r="C293" t="s">
        <v>15</v>
      </c>
      <c r="D293" t="s">
        <v>16</v>
      </c>
      <c r="E293" t="s">
        <v>11</v>
      </c>
      <c r="F293" t="s">
        <v>38</v>
      </c>
      <c r="G293">
        <v>26307</v>
      </c>
      <c r="H293">
        <v>1</v>
      </c>
      <c r="I293">
        <v>27</v>
      </c>
      <c r="J293" t="s">
        <v>25</v>
      </c>
      <c r="K293" s="4">
        <f>Table1[[#This Row],[Sales]]*Table1[[#This Row],[Quantity]]</f>
        <v>26307</v>
      </c>
      <c r="L293" s="4">
        <f>Table1[[#This Row],[Revenue]]-(Table1[[#This Row],[Revenue]]*Table1[[#This Row],[Discount]]/100)</f>
        <v>19204.11</v>
      </c>
    </row>
    <row r="294" spans="1:12" x14ac:dyDescent="0.55000000000000004">
      <c r="A294" t="s">
        <v>323</v>
      </c>
      <c r="B294" s="2">
        <v>45272</v>
      </c>
      <c r="C294" t="s">
        <v>31</v>
      </c>
      <c r="D294" t="s">
        <v>16</v>
      </c>
      <c r="E294" t="s">
        <v>17</v>
      </c>
      <c r="F294" t="s">
        <v>48</v>
      </c>
      <c r="G294">
        <v>43340</v>
      </c>
      <c r="H294">
        <v>9</v>
      </c>
      <c r="I294">
        <v>5</v>
      </c>
      <c r="J294" t="s">
        <v>25</v>
      </c>
      <c r="K294" s="4">
        <f>Table1[[#This Row],[Sales]]*Table1[[#This Row],[Quantity]]</f>
        <v>390060</v>
      </c>
      <c r="L294" s="4">
        <f>Table1[[#This Row],[Revenue]]-(Table1[[#This Row],[Revenue]]*Table1[[#This Row],[Discount]]/100)</f>
        <v>370557</v>
      </c>
    </row>
    <row r="295" spans="1:12" x14ac:dyDescent="0.55000000000000004">
      <c r="A295" t="s">
        <v>324</v>
      </c>
      <c r="B295" s="2">
        <v>45084</v>
      </c>
      <c r="C295" t="s">
        <v>19</v>
      </c>
      <c r="D295" t="s">
        <v>20</v>
      </c>
      <c r="E295" t="s">
        <v>11</v>
      </c>
      <c r="F295" t="s">
        <v>48</v>
      </c>
      <c r="G295">
        <v>21944</v>
      </c>
      <c r="H295">
        <v>4</v>
      </c>
      <c r="I295">
        <v>6</v>
      </c>
      <c r="J295" t="s">
        <v>13</v>
      </c>
      <c r="K295" s="4">
        <f>Table1[[#This Row],[Sales]]*Table1[[#This Row],[Quantity]]</f>
        <v>87776</v>
      </c>
      <c r="L295" s="4">
        <f>Table1[[#This Row],[Revenue]]-(Table1[[#This Row],[Revenue]]*Table1[[#This Row],[Discount]]/100)</f>
        <v>82509.440000000002</v>
      </c>
    </row>
    <row r="296" spans="1:12" x14ac:dyDescent="0.55000000000000004">
      <c r="A296" t="s">
        <v>325</v>
      </c>
      <c r="B296" s="2">
        <v>45127</v>
      </c>
      <c r="C296" t="s">
        <v>24</v>
      </c>
      <c r="D296" t="s">
        <v>46</v>
      </c>
      <c r="E296" t="s">
        <v>17</v>
      </c>
      <c r="F296" t="s">
        <v>21</v>
      </c>
      <c r="G296">
        <v>49522</v>
      </c>
      <c r="H296">
        <v>6</v>
      </c>
      <c r="I296">
        <v>23</v>
      </c>
      <c r="J296" t="s">
        <v>13</v>
      </c>
      <c r="K296" s="4">
        <f>Table1[[#This Row],[Sales]]*Table1[[#This Row],[Quantity]]</f>
        <v>297132</v>
      </c>
      <c r="L296" s="4">
        <f>Table1[[#This Row],[Revenue]]-(Table1[[#This Row],[Revenue]]*Table1[[#This Row],[Discount]]/100)</f>
        <v>228791.64</v>
      </c>
    </row>
    <row r="297" spans="1:12" x14ac:dyDescent="0.55000000000000004">
      <c r="A297" t="s">
        <v>326</v>
      </c>
      <c r="B297" s="2">
        <v>45289</v>
      </c>
      <c r="C297" t="s">
        <v>31</v>
      </c>
      <c r="D297" t="s">
        <v>46</v>
      </c>
      <c r="E297" t="s">
        <v>17</v>
      </c>
      <c r="F297" t="s">
        <v>38</v>
      </c>
      <c r="G297">
        <v>30474</v>
      </c>
      <c r="H297">
        <v>5</v>
      </c>
      <c r="I297">
        <v>12</v>
      </c>
      <c r="J297" t="s">
        <v>22</v>
      </c>
      <c r="K297" s="4">
        <f>Table1[[#This Row],[Sales]]*Table1[[#This Row],[Quantity]]</f>
        <v>152370</v>
      </c>
      <c r="L297" s="4">
        <f>Table1[[#This Row],[Revenue]]-(Table1[[#This Row],[Revenue]]*Table1[[#This Row],[Discount]]/100)</f>
        <v>134085.6</v>
      </c>
    </row>
    <row r="298" spans="1:12" x14ac:dyDescent="0.55000000000000004">
      <c r="A298" t="s">
        <v>327</v>
      </c>
      <c r="B298" s="2">
        <v>44956</v>
      </c>
      <c r="C298" t="s">
        <v>15</v>
      </c>
      <c r="D298" t="s">
        <v>37</v>
      </c>
      <c r="E298" t="s">
        <v>11</v>
      </c>
      <c r="F298" t="s">
        <v>48</v>
      </c>
      <c r="G298">
        <v>23208</v>
      </c>
      <c r="H298">
        <v>7</v>
      </c>
      <c r="I298">
        <v>30</v>
      </c>
      <c r="J298" t="s">
        <v>25</v>
      </c>
      <c r="K298" s="4">
        <f>Table1[[#This Row],[Sales]]*Table1[[#This Row],[Quantity]]</f>
        <v>162456</v>
      </c>
      <c r="L298" s="4">
        <f>Table1[[#This Row],[Revenue]]-(Table1[[#This Row],[Revenue]]*Table1[[#This Row],[Discount]]/100)</f>
        <v>113719.2</v>
      </c>
    </row>
    <row r="299" spans="1:12" x14ac:dyDescent="0.55000000000000004">
      <c r="A299" t="s">
        <v>328</v>
      </c>
      <c r="B299" s="2">
        <v>45117</v>
      </c>
      <c r="C299" t="s">
        <v>24</v>
      </c>
      <c r="D299" t="s">
        <v>20</v>
      </c>
      <c r="E299" t="s">
        <v>11</v>
      </c>
      <c r="F299" t="s">
        <v>34</v>
      </c>
      <c r="G299">
        <v>18626</v>
      </c>
      <c r="H299">
        <v>8</v>
      </c>
      <c r="I299">
        <v>15</v>
      </c>
      <c r="J299" t="s">
        <v>25</v>
      </c>
      <c r="K299" s="4">
        <f>Table1[[#This Row],[Sales]]*Table1[[#This Row],[Quantity]]</f>
        <v>149008</v>
      </c>
      <c r="L299" s="4">
        <f>Table1[[#This Row],[Revenue]]-(Table1[[#This Row],[Revenue]]*Table1[[#This Row],[Discount]]/100)</f>
        <v>126656.8</v>
      </c>
    </row>
    <row r="300" spans="1:12" x14ac:dyDescent="0.55000000000000004">
      <c r="A300" t="s">
        <v>329</v>
      </c>
      <c r="B300" s="2">
        <v>44995</v>
      </c>
      <c r="C300" t="s">
        <v>24</v>
      </c>
      <c r="D300" t="s">
        <v>16</v>
      </c>
      <c r="E300" t="s">
        <v>17</v>
      </c>
      <c r="F300" t="s">
        <v>12</v>
      </c>
      <c r="G300">
        <v>20911</v>
      </c>
      <c r="H300">
        <v>6</v>
      </c>
      <c r="I300">
        <v>3</v>
      </c>
      <c r="J300" t="s">
        <v>13</v>
      </c>
      <c r="K300" s="4">
        <f>Table1[[#This Row],[Sales]]*Table1[[#This Row],[Quantity]]</f>
        <v>125466</v>
      </c>
      <c r="L300" s="4">
        <f>Table1[[#This Row],[Revenue]]-(Table1[[#This Row],[Revenue]]*Table1[[#This Row],[Discount]]/100)</f>
        <v>121702.02</v>
      </c>
    </row>
    <row r="301" spans="1:12" x14ac:dyDescent="0.55000000000000004">
      <c r="A301" t="s">
        <v>330</v>
      </c>
      <c r="B301" s="2">
        <v>45112</v>
      </c>
      <c r="C301" t="s">
        <v>31</v>
      </c>
      <c r="D301" t="s">
        <v>46</v>
      </c>
      <c r="E301" t="s">
        <v>11</v>
      </c>
      <c r="F301" t="s">
        <v>12</v>
      </c>
      <c r="G301">
        <v>4704</v>
      </c>
      <c r="H301">
        <v>7</v>
      </c>
      <c r="I301">
        <v>18</v>
      </c>
      <c r="J301" t="s">
        <v>13</v>
      </c>
      <c r="K301" s="4">
        <f>Table1[[#This Row],[Sales]]*Table1[[#This Row],[Quantity]]</f>
        <v>32928</v>
      </c>
      <c r="L301" s="4">
        <f>Table1[[#This Row],[Revenue]]-(Table1[[#This Row],[Revenue]]*Table1[[#This Row],[Discount]]/100)</f>
        <v>27000.959999999999</v>
      </c>
    </row>
    <row r="302" spans="1:12" x14ac:dyDescent="0.55000000000000004">
      <c r="A302" t="s">
        <v>331</v>
      </c>
      <c r="B302" s="2">
        <v>44959</v>
      </c>
      <c r="C302" t="s">
        <v>24</v>
      </c>
      <c r="D302" t="s">
        <v>20</v>
      </c>
      <c r="E302" t="s">
        <v>17</v>
      </c>
      <c r="F302" t="s">
        <v>34</v>
      </c>
      <c r="G302">
        <v>15725</v>
      </c>
      <c r="H302">
        <v>8</v>
      </c>
      <c r="I302">
        <v>28</v>
      </c>
      <c r="J302" t="s">
        <v>13</v>
      </c>
      <c r="K302" s="4">
        <f>Table1[[#This Row],[Sales]]*Table1[[#This Row],[Quantity]]</f>
        <v>125800</v>
      </c>
      <c r="L302" s="4">
        <f>Table1[[#This Row],[Revenue]]-(Table1[[#This Row],[Revenue]]*Table1[[#This Row],[Discount]]/100)</f>
        <v>90576</v>
      </c>
    </row>
    <row r="303" spans="1:12" x14ac:dyDescent="0.55000000000000004">
      <c r="A303" t="s">
        <v>332</v>
      </c>
      <c r="B303" s="2">
        <v>45016</v>
      </c>
      <c r="C303" t="s">
        <v>19</v>
      </c>
      <c r="D303" t="s">
        <v>37</v>
      </c>
      <c r="E303" t="s">
        <v>11</v>
      </c>
      <c r="F303" t="s">
        <v>29</v>
      </c>
      <c r="G303">
        <v>31421</v>
      </c>
      <c r="H303">
        <v>3</v>
      </c>
      <c r="I303">
        <v>2</v>
      </c>
      <c r="J303" t="s">
        <v>22</v>
      </c>
      <c r="K303" s="4">
        <f>Table1[[#This Row],[Sales]]*Table1[[#This Row],[Quantity]]</f>
        <v>94263</v>
      </c>
      <c r="L303" s="4">
        <f>Table1[[#This Row],[Revenue]]-(Table1[[#This Row],[Revenue]]*Table1[[#This Row],[Discount]]/100)</f>
        <v>92377.74</v>
      </c>
    </row>
    <row r="304" spans="1:12" x14ac:dyDescent="0.55000000000000004">
      <c r="A304" t="s">
        <v>333</v>
      </c>
      <c r="B304" s="2">
        <v>45196</v>
      </c>
      <c r="C304" t="s">
        <v>31</v>
      </c>
      <c r="D304" t="s">
        <v>46</v>
      </c>
      <c r="E304" t="s">
        <v>17</v>
      </c>
      <c r="F304" t="s">
        <v>29</v>
      </c>
      <c r="G304">
        <v>49800</v>
      </c>
      <c r="H304">
        <v>8</v>
      </c>
      <c r="I304">
        <v>2</v>
      </c>
      <c r="J304" t="s">
        <v>25</v>
      </c>
      <c r="K304" s="4">
        <f>Table1[[#This Row],[Sales]]*Table1[[#This Row],[Quantity]]</f>
        <v>398400</v>
      </c>
      <c r="L304" s="4">
        <f>Table1[[#This Row],[Revenue]]-(Table1[[#This Row],[Revenue]]*Table1[[#This Row],[Discount]]/100)</f>
        <v>390432</v>
      </c>
    </row>
    <row r="305" spans="1:12" x14ac:dyDescent="0.55000000000000004">
      <c r="A305" t="s">
        <v>334</v>
      </c>
      <c r="B305" s="2">
        <v>45097</v>
      </c>
      <c r="C305" t="s">
        <v>15</v>
      </c>
      <c r="D305" t="s">
        <v>20</v>
      </c>
      <c r="E305" t="s">
        <v>11</v>
      </c>
      <c r="F305" t="s">
        <v>12</v>
      </c>
      <c r="G305">
        <v>1097</v>
      </c>
      <c r="H305">
        <v>1</v>
      </c>
      <c r="I305">
        <v>28</v>
      </c>
      <c r="J305" t="s">
        <v>13</v>
      </c>
      <c r="K305" s="4">
        <f>Table1[[#This Row],[Sales]]*Table1[[#This Row],[Quantity]]</f>
        <v>1097</v>
      </c>
      <c r="L305" s="4">
        <f>Table1[[#This Row],[Revenue]]-(Table1[[#This Row],[Revenue]]*Table1[[#This Row],[Discount]]/100)</f>
        <v>789.83999999999992</v>
      </c>
    </row>
    <row r="306" spans="1:12" x14ac:dyDescent="0.55000000000000004">
      <c r="A306" t="s">
        <v>335</v>
      </c>
      <c r="B306" s="2">
        <v>45135</v>
      </c>
      <c r="C306" t="s">
        <v>19</v>
      </c>
      <c r="D306" t="s">
        <v>27</v>
      </c>
      <c r="E306" t="s">
        <v>17</v>
      </c>
      <c r="F306" t="s">
        <v>21</v>
      </c>
      <c r="G306">
        <v>34150</v>
      </c>
      <c r="H306">
        <v>6</v>
      </c>
      <c r="I306">
        <v>18</v>
      </c>
      <c r="J306" t="s">
        <v>13</v>
      </c>
      <c r="K306" s="4">
        <f>Table1[[#This Row],[Sales]]*Table1[[#This Row],[Quantity]]</f>
        <v>204900</v>
      </c>
      <c r="L306" s="4">
        <f>Table1[[#This Row],[Revenue]]-(Table1[[#This Row],[Revenue]]*Table1[[#This Row],[Discount]]/100)</f>
        <v>168018</v>
      </c>
    </row>
    <row r="307" spans="1:12" x14ac:dyDescent="0.55000000000000004">
      <c r="A307" t="s">
        <v>336</v>
      </c>
      <c r="B307" s="2">
        <v>45232</v>
      </c>
      <c r="C307" t="s">
        <v>19</v>
      </c>
      <c r="D307" t="s">
        <v>16</v>
      </c>
      <c r="E307" t="s">
        <v>17</v>
      </c>
      <c r="F307" t="s">
        <v>21</v>
      </c>
      <c r="G307">
        <v>11950</v>
      </c>
      <c r="H307">
        <v>8</v>
      </c>
      <c r="I307">
        <v>1</v>
      </c>
      <c r="J307" t="s">
        <v>22</v>
      </c>
      <c r="K307" s="4">
        <f>Table1[[#This Row],[Sales]]*Table1[[#This Row],[Quantity]]</f>
        <v>95600</v>
      </c>
      <c r="L307" s="4">
        <f>Table1[[#This Row],[Revenue]]-(Table1[[#This Row],[Revenue]]*Table1[[#This Row],[Discount]]/100)</f>
        <v>94644</v>
      </c>
    </row>
    <row r="308" spans="1:12" x14ac:dyDescent="0.55000000000000004">
      <c r="A308" t="s">
        <v>337</v>
      </c>
      <c r="B308" s="2">
        <v>44977</v>
      </c>
      <c r="C308" t="s">
        <v>24</v>
      </c>
      <c r="D308" t="s">
        <v>37</v>
      </c>
      <c r="E308" t="s">
        <v>17</v>
      </c>
      <c r="F308" t="s">
        <v>29</v>
      </c>
      <c r="G308">
        <v>6566</v>
      </c>
      <c r="H308">
        <v>10</v>
      </c>
      <c r="I308">
        <v>27</v>
      </c>
      <c r="J308" t="s">
        <v>22</v>
      </c>
      <c r="K308" s="4">
        <f>Table1[[#This Row],[Sales]]*Table1[[#This Row],[Quantity]]</f>
        <v>65660</v>
      </c>
      <c r="L308" s="4">
        <f>Table1[[#This Row],[Revenue]]-(Table1[[#This Row],[Revenue]]*Table1[[#This Row],[Discount]]/100)</f>
        <v>47931.8</v>
      </c>
    </row>
    <row r="309" spans="1:12" x14ac:dyDescent="0.55000000000000004">
      <c r="A309" t="s">
        <v>338</v>
      </c>
      <c r="B309" s="2">
        <v>44977</v>
      </c>
      <c r="C309" t="s">
        <v>24</v>
      </c>
      <c r="D309" t="s">
        <v>27</v>
      </c>
      <c r="E309" t="s">
        <v>17</v>
      </c>
      <c r="F309" t="s">
        <v>48</v>
      </c>
      <c r="G309">
        <v>2345</v>
      </c>
      <c r="H309">
        <v>4</v>
      </c>
      <c r="I309">
        <v>30</v>
      </c>
      <c r="J309" t="s">
        <v>22</v>
      </c>
      <c r="K309" s="4">
        <f>Table1[[#This Row],[Sales]]*Table1[[#This Row],[Quantity]]</f>
        <v>9380</v>
      </c>
      <c r="L309" s="4">
        <f>Table1[[#This Row],[Revenue]]-(Table1[[#This Row],[Revenue]]*Table1[[#This Row],[Discount]]/100)</f>
        <v>6566</v>
      </c>
    </row>
    <row r="310" spans="1:12" x14ac:dyDescent="0.55000000000000004">
      <c r="A310" t="s">
        <v>339</v>
      </c>
      <c r="B310" s="2">
        <v>45234</v>
      </c>
      <c r="C310" t="s">
        <v>31</v>
      </c>
      <c r="D310" t="s">
        <v>27</v>
      </c>
      <c r="E310" t="s">
        <v>11</v>
      </c>
      <c r="F310" t="s">
        <v>21</v>
      </c>
      <c r="G310">
        <v>26260</v>
      </c>
      <c r="H310">
        <v>1</v>
      </c>
      <c r="I310">
        <v>11</v>
      </c>
      <c r="J310" t="s">
        <v>13</v>
      </c>
      <c r="K310" s="4">
        <f>Table1[[#This Row],[Sales]]*Table1[[#This Row],[Quantity]]</f>
        <v>26260</v>
      </c>
      <c r="L310" s="4">
        <f>Table1[[#This Row],[Revenue]]-(Table1[[#This Row],[Revenue]]*Table1[[#This Row],[Discount]]/100)</f>
        <v>23371.4</v>
      </c>
    </row>
    <row r="311" spans="1:12" x14ac:dyDescent="0.55000000000000004">
      <c r="A311" t="s">
        <v>340</v>
      </c>
      <c r="B311" s="2">
        <v>45237</v>
      </c>
      <c r="C311" t="s">
        <v>24</v>
      </c>
      <c r="D311" t="s">
        <v>16</v>
      </c>
      <c r="E311" t="s">
        <v>17</v>
      </c>
      <c r="F311" t="s">
        <v>48</v>
      </c>
      <c r="G311">
        <v>19459</v>
      </c>
      <c r="H311">
        <v>9</v>
      </c>
      <c r="I311">
        <v>15</v>
      </c>
      <c r="J311" t="s">
        <v>13</v>
      </c>
      <c r="K311" s="4">
        <f>Table1[[#This Row],[Sales]]*Table1[[#This Row],[Quantity]]</f>
        <v>175131</v>
      </c>
      <c r="L311" s="4">
        <f>Table1[[#This Row],[Revenue]]-(Table1[[#This Row],[Revenue]]*Table1[[#This Row],[Discount]]/100)</f>
        <v>148861.35</v>
      </c>
    </row>
    <row r="312" spans="1:12" x14ac:dyDescent="0.55000000000000004">
      <c r="A312" t="s">
        <v>341</v>
      </c>
      <c r="B312" s="2">
        <v>45120</v>
      </c>
      <c r="C312" t="s">
        <v>31</v>
      </c>
      <c r="D312" t="s">
        <v>37</v>
      </c>
      <c r="E312" t="s">
        <v>17</v>
      </c>
      <c r="F312" t="s">
        <v>21</v>
      </c>
      <c r="G312">
        <v>21322</v>
      </c>
      <c r="H312">
        <v>5</v>
      </c>
      <c r="I312">
        <v>5</v>
      </c>
      <c r="J312" t="s">
        <v>25</v>
      </c>
      <c r="K312" s="4">
        <f>Table1[[#This Row],[Sales]]*Table1[[#This Row],[Quantity]]</f>
        <v>106610</v>
      </c>
      <c r="L312" s="4">
        <f>Table1[[#This Row],[Revenue]]-(Table1[[#This Row],[Revenue]]*Table1[[#This Row],[Discount]]/100)</f>
        <v>101279.5</v>
      </c>
    </row>
    <row r="313" spans="1:12" x14ac:dyDescent="0.55000000000000004">
      <c r="A313" t="s">
        <v>342</v>
      </c>
      <c r="B313" s="2">
        <v>44984</v>
      </c>
      <c r="C313" t="s">
        <v>15</v>
      </c>
      <c r="D313" t="s">
        <v>16</v>
      </c>
      <c r="E313" t="s">
        <v>11</v>
      </c>
      <c r="F313" t="s">
        <v>34</v>
      </c>
      <c r="G313">
        <v>27425</v>
      </c>
      <c r="H313">
        <v>3</v>
      </c>
      <c r="I313">
        <v>10</v>
      </c>
      <c r="J313" t="s">
        <v>25</v>
      </c>
      <c r="K313" s="4">
        <f>Table1[[#This Row],[Sales]]*Table1[[#This Row],[Quantity]]</f>
        <v>82275</v>
      </c>
      <c r="L313" s="4">
        <f>Table1[[#This Row],[Revenue]]-(Table1[[#This Row],[Revenue]]*Table1[[#This Row],[Discount]]/100)</f>
        <v>74047.5</v>
      </c>
    </row>
    <row r="314" spans="1:12" x14ac:dyDescent="0.55000000000000004">
      <c r="A314" t="s">
        <v>343</v>
      </c>
      <c r="B314" s="2">
        <v>45053</v>
      </c>
      <c r="C314" t="s">
        <v>15</v>
      </c>
      <c r="D314" t="s">
        <v>16</v>
      </c>
      <c r="E314" t="s">
        <v>11</v>
      </c>
      <c r="F314" t="s">
        <v>38</v>
      </c>
      <c r="G314">
        <v>17827</v>
      </c>
      <c r="H314">
        <v>2</v>
      </c>
      <c r="I314">
        <v>4</v>
      </c>
      <c r="J314" t="s">
        <v>22</v>
      </c>
      <c r="K314" s="4">
        <f>Table1[[#This Row],[Sales]]*Table1[[#This Row],[Quantity]]</f>
        <v>35654</v>
      </c>
      <c r="L314" s="4">
        <f>Table1[[#This Row],[Revenue]]-(Table1[[#This Row],[Revenue]]*Table1[[#This Row],[Discount]]/100)</f>
        <v>34227.839999999997</v>
      </c>
    </row>
    <row r="315" spans="1:12" x14ac:dyDescent="0.55000000000000004">
      <c r="A315" t="s">
        <v>344</v>
      </c>
      <c r="B315" s="2">
        <v>44951</v>
      </c>
      <c r="C315" t="s">
        <v>31</v>
      </c>
      <c r="D315" t="s">
        <v>37</v>
      </c>
      <c r="E315" t="s">
        <v>11</v>
      </c>
      <c r="F315" t="s">
        <v>12</v>
      </c>
      <c r="G315">
        <v>32111</v>
      </c>
      <c r="H315">
        <v>4</v>
      </c>
      <c r="I315">
        <v>2</v>
      </c>
      <c r="J315" t="s">
        <v>22</v>
      </c>
      <c r="K315" s="4">
        <f>Table1[[#This Row],[Sales]]*Table1[[#This Row],[Quantity]]</f>
        <v>128444</v>
      </c>
      <c r="L315" s="4">
        <f>Table1[[#This Row],[Revenue]]-(Table1[[#This Row],[Revenue]]*Table1[[#This Row],[Discount]]/100)</f>
        <v>125875.12</v>
      </c>
    </row>
    <row r="316" spans="1:12" x14ac:dyDescent="0.55000000000000004">
      <c r="A316" t="s">
        <v>345</v>
      </c>
      <c r="B316" s="2">
        <v>45240</v>
      </c>
      <c r="C316" t="s">
        <v>19</v>
      </c>
      <c r="D316" t="s">
        <v>20</v>
      </c>
      <c r="E316" t="s">
        <v>17</v>
      </c>
      <c r="F316" t="s">
        <v>34</v>
      </c>
      <c r="G316">
        <v>33487</v>
      </c>
      <c r="H316">
        <v>3</v>
      </c>
      <c r="I316">
        <v>18</v>
      </c>
      <c r="J316" t="s">
        <v>22</v>
      </c>
      <c r="K316" s="4">
        <f>Table1[[#This Row],[Sales]]*Table1[[#This Row],[Quantity]]</f>
        <v>100461</v>
      </c>
      <c r="L316" s="4">
        <f>Table1[[#This Row],[Revenue]]-(Table1[[#This Row],[Revenue]]*Table1[[#This Row],[Discount]]/100)</f>
        <v>82378.02</v>
      </c>
    </row>
    <row r="317" spans="1:12" x14ac:dyDescent="0.55000000000000004">
      <c r="A317" t="s">
        <v>346</v>
      </c>
      <c r="B317" s="2">
        <v>44990</v>
      </c>
      <c r="C317" t="s">
        <v>19</v>
      </c>
      <c r="D317" t="s">
        <v>20</v>
      </c>
      <c r="E317" t="s">
        <v>17</v>
      </c>
      <c r="F317" t="s">
        <v>44</v>
      </c>
      <c r="G317">
        <v>49055</v>
      </c>
      <c r="H317">
        <v>5</v>
      </c>
      <c r="I317">
        <v>21</v>
      </c>
      <c r="J317" t="s">
        <v>13</v>
      </c>
      <c r="K317" s="4">
        <f>Table1[[#This Row],[Sales]]*Table1[[#This Row],[Quantity]]</f>
        <v>245275</v>
      </c>
      <c r="L317" s="4">
        <f>Table1[[#This Row],[Revenue]]-(Table1[[#This Row],[Revenue]]*Table1[[#This Row],[Discount]]/100)</f>
        <v>193767.25</v>
      </c>
    </row>
    <row r="318" spans="1:12" x14ac:dyDescent="0.55000000000000004">
      <c r="A318" t="s">
        <v>347</v>
      </c>
      <c r="B318" s="2">
        <v>45102</v>
      </c>
      <c r="C318" t="s">
        <v>19</v>
      </c>
      <c r="D318" t="s">
        <v>46</v>
      </c>
      <c r="E318" t="s">
        <v>11</v>
      </c>
      <c r="F318" t="s">
        <v>38</v>
      </c>
      <c r="G318">
        <v>47454</v>
      </c>
      <c r="H318">
        <v>4</v>
      </c>
      <c r="I318">
        <v>14</v>
      </c>
      <c r="J318" t="s">
        <v>25</v>
      </c>
      <c r="K318" s="4">
        <f>Table1[[#This Row],[Sales]]*Table1[[#This Row],[Quantity]]</f>
        <v>189816</v>
      </c>
      <c r="L318" s="4">
        <f>Table1[[#This Row],[Revenue]]-(Table1[[#This Row],[Revenue]]*Table1[[#This Row],[Discount]]/100)</f>
        <v>163241.76</v>
      </c>
    </row>
    <row r="319" spans="1:12" x14ac:dyDescent="0.55000000000000004">
      <c r="A319" t="s">
        <v>348</v>
      </c>
      <c r="B319" s="2">
        <v>45249</v>
      </c>
      <c r="C319" t="s">
        <v>15</v>
      </c>
      <c r="D319" t="s">
        <v>20</v>
      </c>
      <c r="E319" t="s">
        <v>11</v>
      </c>
      <c r="F319" t="s">
        <v>34</v>
      </c>
      <c r="G319">
        <v>22762</v>
      </c>
      <c r="H319">
        <v>1</v>
      </c>
      <c r="I319">
        <v>19</v>
      </c>
      <c r="J319" t="s">
        <v>13</v>
      </c>
      <c r="K319" s="4">
        <f>Table1[[#This Row],[Sales]]*Table1[[#This Row],[Quantity]]</f>
        <v>22762</v>
      </c>
      <c r="L319" s="4">
        <f>Table1[[#This Row],[Revenue]]-(Table1[[#This Row],[Revenue]]*Table1[[#This Row],[Discount]]/100)</f>
        <v>18437.22</v>
      </c>
    </row>
    <row r="320" spans="1:12" x14ac:dyDescent="0.55000000000000004">
      <c r="A320" t="s">
        <v>349</v>
      </c>
      <c r="B320" s="2">
        <v>45056</v>
      </c>
      <c r="C320" t="s">
        <v>19</v>
      </c>
      <c r="D320" t="s">
        <v>20</v>
      </c>
      <c r="E320" t="s">
        <v>11</v>
      </c>
      <c r="F320" t="s">
        <v>29</v>
      </c>
      <c r="G320">
        <v>5068</v>
      </c>
      <c r="H320">
        <v>2</v>
      </c>
      <c r="I320">
        <v>28</v>
      </c>
      <c r="J320" t="s">
        <v>25</v>
      </c>
      <c r="K320" s="4">
        <f>Table1[[#This Row],[Sales]]*Table1[[#This Row],[Quantity]]</f>
        <v>10136</v>
      </c>
      <c r="L320" s="4">
        <f>Table1[[#This Row],[Revenue]]-(Table1[[#This Row],[Revenue]]*Table1[[#This Row],[Discount]]/100)</f>
        <v>7297.92</v>
      </c>
    </row>
    <row r="321" spans="1:12" x14ac:dyDescent="0.55000000000000004">
      <c r="A321" t="s">
        <v>350</v>
      </c>
      <c r="B321" s="2">
        <v>45276</v>
      </c>
      <c r="C321" t="s">
        <v>31</v>
      </c>
      <c r="D321" t="s">
        <v>27</v>
      </c>
      <c r="E321" t="s">
        <v>17</v>
      </c>
      <c r="F321" t="s">
        <v>12</v>
      </c>
      <c r="G321">
        <v>25718</v>
      </c>
      <c r="H321">
        <v>1</v>
      </c>
      <c r="I321">
        <v>12</v>
      </c>
      <c r="J321" t="s">
        <v>13</v>
      </c>
      <c r="K321" s="4">
        <f>Table1[[#This Row],[Sales]]*Table1[[#This Row],[Quantity]]</f>
        <v>25718</v>
      </c>
      <c r="L321" s="4">
        <f>Table1[[#This Row],[Revenue]]-(Table1[[#This Row],[Revenue]]*Table1[[#This Row],[Discount]]/100)</f>
        <v>22631.84</v>
      </c>
    </row>
    <row r="322" spans="1:12" x14ac:dyDescent="0.55000000000000004">
      <c r="A322" t="s">
        <v>351</v>
      </c>
      <c r="B322" s="2">
        <v>44996</v>
      </c>
      <c r="C322" t="s">
        <v>19</v>
      </c>
      <c r="D322" t="s">
        <v>27</v>
      </c>
      <c r="E322" t="s">
        <v>17</v>
      </c>
      <c r="F322" t="s">
        <v>34</v>
      </c>
      <c r="G322">
        <v>38486</v>
      </c>
      <c r="H322">
        <v>5</v>
      </c>
      <c r="I322">
        <v>26</v>
      </c>
      <c r="J322" t="s">
        <v>22</v>
      </c>
      <c r="K322" s="4">
        <f>Table1[[#This Row],[Sales]]*Table1[[#This Row],[Quantity]]</f>
        <v>192430</v>
      </c>
      <c r="L322" s="4">
        <f>Table1[[#This Row],[Revenue]]-(Table1[[#This Row],[Revenue]]*Table1[[#This Row],[Discount]]/100)</f>
        <v>142398.20000000001</v>
      </c>
    </row>
    <row r="323" spans="1:12" x14ac:dyDescent="0.55000000000000004">
      <c r="A323" t="s">
        <v>352</v>
      </c>
      <c r="B323" s="2">
        <v>45166</v>
      </c>
      <c r="C323" t="s">
        <v>31</v>
      </c>
      <c r="D323" t="s">
        <v>46</v>
      </c>
      <c r="E323" t="s">
        <v>17</v>
      </c>
      <c r="F323" t="s">
        <v>34</v>
      </c>
      <c r="G323">
        <v>44414</v>
      </c>
      <c r="H323">
        <v>6</v>
      </c>
      <c r="I323">
        <v>21</v>
      </c>
      <c r="J323" t="s">
        <v>25</v>
      </c>
      <c r="K323" s="4">
        <f>Table1[[#This Row],[Sales]]*Table1[[#This Row],[Quantity]]</f>
        <v>266484</v>
      </c>
      <c r="L323" s="4">
        <f>Table1[[#This Row],[Revenue]]-(Table1[[#This Row],[Revenue]]*Table1[[#This Row],[Discount]]/100)</f>
        <v>210522.36</v>
      </c>
    </row>
    <row r="324" spans="1:12" x14ac:dyDescent="0.55000000000000004">
      <c r="A324" t="s">
        <v>353</v>
      </c>
      <c r="B324" s="2">
        <v>45193</v>
      </c>
      <c r="C324" t="s">
        <v>24</v>
      </c>
      <c r="D324" t="s">
        <v>27</v>
      </c>
      <c r="E324" t="s">
        <v>17</v>
      </c>
      <c r="F324" t="s">
        <v>38</v>
      </c>
      <c r="G324">
        <v>18816</v>
      </c>
      <c r="H324">
        <v>10</v>
      </c>
      <c r="I324">
        <v>12</v>
      </c>
      <c r="J324" t="s">
        <v>22</v>
      </c>
      <c r="K324" s="4">
        <f>Table1[[#This Row],[Sales]]*Table1[[#This Row],[Quantity]]</f>
        <v>188160</v>
      </c>
      <c r="L324" s="4">
        <f>Table1[[#This Row],[Revenue]]-(Table1[[#This Row],[Revenue]]*Table1[[#This Row],[Discount]]/100)</f>
        <v>165580.79999999999</v>
      </c>
    </row>
    <row r="325" spans="1:12" x14ac:dyDescent="0.55000000000000004">
      <c r="A325" t="s">
        <v>354</v>
      </c>
      <c r="B325" s="2">
        <v>44989</v>
      </c>
      <c r="C325" t="s">
        <v>24</v>
      </c>
      <c r="D325" t="s">
        <v>46</v>
      </c>
      <c r="E325" t="s">
        <v>11</v>
      </c>
      <c r="F325" t="s">
        <v>34</v>
      </c>
      <c r="G325">
        <v>8473</v>
      </c>
      <c r="H325">
        <v>7</v>
      </c>
      <c r="I325">
        <v>0</v>
      </c>
      <c r="J325" t="s">
        <v>22</v>
      </c>
      <c r="K325" s="4">
        <f>Table1[[#This Row],[Sales]]*Table1[[#This Row],[Quantity]]</f>
        <v>59311</v>
      </c>
      <c r="L325" s="4">
        <f>Table1[[#This Row],[Revenue]]-(Table1[[#This Row],[Revenue]]*Table1[[#This Row],[Discount]]/100)</f>
        <v>59311</v>
      </c>
    </row>
    <row r="326" spans="1:12" x14ac:dyDescent="0.55000000000000004">
      <c r="A326" t="s">
        <v>355</v>
      </c>
      <c r="B326" s="2">
        <v>44992</v>
      </c>
      <c r="C326" t="s">
        <v>31</v>
      </c>
      <c r="D326" t="s">
        <v>37</v>
      </c>
      <c r="E326" t="s">
        <v>17</v>
      </c>
      <c r="F326" t="s">
        <v>29</v>
      </c>
      <c r="G326">
        <v>3957</v>
      </c>
      <c r="H326">
        <v>7</v>
      </c>
      <c r="I326">
        <v>12</v>
      </c>
      <c r="J326" t="s">
        <v>25</v>
      </c>
      <c r="K326" s="4">
        <f>Table1[[#This Row],[Sales]]*Table1[[#This Row],[Quantity]]</f>
        <v>27699</v>
      </c>
      <c r="L326" s="4">
        <f>Table1[[#This Row],[Revenue]]-(Table1[[#This Row],[Revenue]]*Table1[[#This Row],[Discount]]/100)</f>
        <v>24375.119999999999</v>
      </c>
    </row>
    <row r="327" spans="1:12" x14ac:dyDescent="0.55000000000000004">
      <c r="A327" t="s">
        <v>356</v>
      </c>
      <c r="B327" s="2">
        <v>45138</v>
      </c>
      <c r="C327" t="s">
        <v>24</v>
      </c>
      <c r="D327" t="s">
        <v>27</v>
      </c>
      <c r="E327" t="s">
        <v>17</v>
      </c>
      <c r="F327" t="s">
        <v>12</v>
      </c>
      <c r="G327">
        <v>11944</v>
      </c>
      <c r="H327">
        <v>6</v>
      </c>
      <c r="I327">
        <v>8</v>
      </c>
      <c r="J327" t="s">
        <v>22</v>
      </c>
      <c r="K327" s="4">
        <f>Table1[[#This Row],[Sales]]*Table1[[#This Row],[Quantity]]</f>
        <v>71664</v>
      </c>
      <c r="L327" s="4">
        <f>Table1[[#This Row],[Revenue]]-(Table1[[#This Row],[Revenue]]*Table1[[#This Row],[Discount]]/100)</f>
        <v>65930.880000000005</v>
      </c>
    </row>
    <row r="328" spans="1:12" x14ac:dyDescent="0.55000000000000004">
      <c r="A328" t="s">
        <v>357</v>
      </c>
      <c r="B328" s="2">
        <v>45212</v>
      </c>
      <c r="C328" t="s">
        <v>15</v>
      </c>
      <c r="D328" t="s">
        <v>46</v>
      </c>
      <c r="E328" t="s">
        <v>17</v>
      </c>
      <c r="F328" t="s">
        <v>12</v>
      </c>
      <c r="G328">
        <v>30324</v>
      </c>
      <c r="H328">
        <v>7</v>
      </c>
      <c r="I328">
        <v>17</v>
      </c>
      <c r="J328" t="s">
        <v>25</v>
      </c>
      <c r="K328" s="4">
        <f>Table1[[#This Row],[Sales]]*Table1[[#This Row],[Quantity]]</f>
        <v>212268</v>
      </c>
      <c r="L328" s="4">
        <f>Table1[[#This Row],[Revenue]]-(Table1[[#This Row],[Revenue]]*Table1[[#This Row],[Discount]]/100)</f>
        <v>176182.44</v>
      </c>
    </row>
    <row r="329" spans="1:12" x14ac:dyDescent="0.55000000000000004">
      <c r="A329" t="s">
        <v>358</v>
      </c>
      <c r="B329" s="2">
        <v>44996</v>
      </c>
      <c r="C329" t="s">
        <v>31</v>
      </c>
      <c r="D329" t="s">
        <v>16</v>
      </c>
      <c r="E329" t="s">
        <v>17</v>
      </c>
      <c r="F329" t="s">
        <v>48</v>
      </c>
      <c r="G329">
        <v>35136</v>
      </c>
      <c r="H329">
        <v>4</v>
      </c>
      <c r="I329">
        <v>8</v>
      </c>
      <c r="J329" t="s">
        <v>13</v>
      </c>
      <c r="K329" s="4">
        <f>Table1[[#This Row],[Sales]]*Table1[[#This Row],[Quantity]]</f>
        <v>140544</v>
      </c>
      <c r="L329" s="4">
        <f>Table1[[#This Row],[Revenue]]-(Table1[[#This Row],[Revenue]]*Table1[[#This Row],[Discount]]/100)</f>
        <v>129300.48</v>
      </c>
    </row>
    <row r="330" spans="1:12" x14ac:dyDescent="0.55000000000000004">
      <c r="A330" t="s">
        <v>359</v>
      </c>
      <c r="B330" s="2">
        <v>45272</v>
      </c>
      <c r="C330" t="s">
        <v>31</v>
      </c>
      <c r="D330" t="s">
        <v>20</v>
      </c>
      <c r="E330" t="s">
        <v>17</v>
      </c>
      <c r="F330" t="s">
        <v>44</v>
      </c>
      <c r="G330">
        <v>26076</v>
      </c>
      <c r="H330">
        <v>3</v>
      </c>
      <c r="I330">
        <v>23</v>
      </c>
      <c r="J330" t="s">
        <v>25</v>
      </c>
      <c r="K330" s="4">
        <f>Table1[[#This Row],[Sales]]*Table1[[#This Row],[Quantity]]</f>
        <v>78228</v>
      </c>
      <c r="L330" s="4">
        <f>Table1[[#This Row],[Revenue]]-(Table1[[#This Row],[Revenue]]*Table1[[#This Row],[Discount]]/100)</f>
        <v>60235.56</v>
      </c>
    </row>
    <row r="331" spans="1:12" x14ac:dyDescent="0.55000000000000004">
      <c r="A331" t="s">
        <v>360</v>
      </c>
      <c r="B331" s="2">
        <v>45170</v>
      </c>
      <c r="C331" t="s">
        <v>19</v>
      </c>
      <c r="D331" t="s">
        <v>27</v>
      </c>
      <c r="E331" t="s">
        <v>17</v>
      </c>
      <c r="F331" t="s">
        <v>29</v>
      </c>
      <c r="G331">
        <v>37387</v>
      </c>
      <c r="H331">
        <v>7</v>
      </c>
      <c r="I331">
        <v>17</v>
      </c>
      <c r="J331" t="s">
        <v>25</v>
      </c>
      <c r="K331" s="4">
        <f>Table1[[#This Row],[Sales]]*Table1[[#This Row],[Quantity]]</f>
        <v>261709</v>
      </c>
      <c r="L331" s="4">
        <f>Table1[[#This Row],[Revenue]]-(Table1[[#This Row],[Revenue]]*Table1[[#This Row],[Discount]]/100)</f>
        <v>217218.47</v>
      </c>
    </row>
    <row r="332" spans="1:12" x14ac:dyDescent="0.55000000000000004">
      <c r="A332" t="s">
        <v>361</v>
      </c>
      <c r="B332" s="2">
        <v>45258</v>
      </c>
      <c r="C332" t="s">
        <v>15</v>
      </c>
      <c r="D332" t="s">
        <v>37</v>
      </c>
      <c r="E332" t="s">
        <v>17</v>
      </c>
      <c r="F332" t="s">
        <v>48</v>
      </c>
      <c r="G332">
        <v>22199</v>
      </c>
      <c r="H332">
        <v>5</v>
      </c>
      <c r="I332">
        <v>1</v>
      </c>
      <c r="J332" t="s">
        <v>13</v>
      </c>
      <c r="K332" s="4">
        <f>Table1[[#This Row],[Sales]]*Table1[[#This Row],[Quantity]]</f>
        <v>110995</v>
      </c>
      <c r="L332" s="4">
        <f>Table1[[#This Row],[Revenue]]-(Table1[[#This Row],[Revenue]]*Table1[[#This Row],[Discount]]/100)</f>
        <v>109885.05</v>
      </c>
    </row>
    <row r="333" spans="1:12" x14ac:dyDescent="0.55000000000000004">
      <c r="A333" t="s">
        <v>362</v>
      </c>
      <c r="B333" s="2">
        <v>44935</v>
      </c>
      <c r="C333" t="s">
        <v>15</v>
      </c>
      <c r="D333" t="s">
        <v>46</v>
      </c>
      <c r="E333" t="s">
        <v>11</v>
      </c>
      <c r="F333" t="s">
        <v>34</v>
      </c>
      <c r="G333">
        <v>47477</v>
      </c>
      <c r="H333">
        <v>1</v>
      </c>
      <c r="I333">
        <v>20</v>
      </c>
      <c r="J333" t="s">
        <v>22</v>
      </c>
      <c r="K333" s="4">
        <f>Table1[[#This Row],[Sales]]*Table1[[#This Row],[Quantity]]</f>
        <v>47477</v>
      </c>
      <c r="L333" s="4">
        <f>Table1[[#This Row],[Revenue]]-(Table1[[#This Row],[Revenue]]*Table1[[#This Row],[Discount]]/100)</f>
        <v>37981.599999999999</v>
      </c>
    </row>
    <row r="334" spans="1:12" x14ac:dyDescent="0.55000000000000004">
      <c r="A334" t="s">
        <v>363</v>
      </c>
      <c r="B334" s="2">
        <v>45147</v>
      </c>
      <c r="C334" t="s">
        <v>31</v>
      </c>
      <c r="D334" t="s">
        <v>46</v>
      </c>
      <c r="E334" t="s">
        <v>11</v>
      </c>
      <c r="F334" t="s">
        <v>29</v>
      </c>
      <c r="G334">
        <v>40505</v>
      </c>
      <c r="H334">
        <v>10</v>
      </c>
      <c r="I334">
        <v>30</v>
      </c>
      <c r="J334" t="s">
        <v>13</v>
      </c>
      <c r="K334" s="4">
        <f>Table1[[#This Row],[Sales]]*Table1[[#This Row],[Quantity]]</f>
        <v>405050</v>
      </c>
      <c r="L334" s="4">
        <f>Table1[[#This Row],[Revenue]]-(Table1[[#This Row],[Revenue]]*Table1[[#This Row],[Discount]]/100)</f>
        <v>283535</v>
      </c>
    </row>
    <row r="335" spans="1:12" x14ac:dyDescent="0.55000000000000004">
      <c r="A335" t="s">
        <v>364</v>
      </c>
      <c r="B335" s="2">
        <v>45114</v>
      </c>
      <c r="C335" t="s">
        <v>31</v>
      </c>
      <c r="D335" t="s">
        <v>46</v>
      </c>
      <c r="E335" t="s">
        <v>17</v>
      </c>
      <c r="F335" t="s">
        <v>29</v>
      </c>
      <c r="G335">
        <v>35307</v>
      </c>
      <c r="H335">
        <v>6</v>
      </c>
      <c r="I335">
        <v>0</v>
      </c>
      <c r="J335" t="s">
        <v>25</v>
      </c>
      <c r="K335" s="4">
        <f>Table1[[#This Row],[Sales]]*Table1[[#This Row],[Quantity]]</f>
        <v>211842</v>
      </c>
      <c r="L335" s="4">
        <f>Table1[[#This Row],[Revenue]]-(Table1[[#This Row],[Revenue]]*Table1[[#This Row],[Discount]]/100)</f>
        <v>211842</v>
      </c>
    </row>
    <row r="336" spans="1:12" x14ac:dyDescent="0.55000000000000004">
      <c r="A336" t="s">
        <v>365</v>
      </c>
      <c r="B336" s="2">
        <v>45014</v>
      </c>
      <c r="C336" t="s">
        <v>31</v>
      </c>
      <c r="D336" t="s">
        <v>20</v>
      </c>
      <c r="E336" t="s">
        <v>17</v>
      </c>
      <c r="F336" t="s">
        <v>21</v>
      </c>
      <c r="G336">
        <v>20634</v>
      </c>
      <c r="H336">
        <v>5</v>
      </c>
      <c r="I336">
        <v>15</v>
      </c>
      <c r="J336" t="s">
        <v>22</v>
      </c>
      <c r="K336" s="4">
        <f>Table1[[#This Row],[Sales]]*Table1[[#This Row],[Quantity]]</f>
        <v>103170</v>
      </c>
      <c r="L336" s="4">
        <f>Table1[[#This Row],[Revenue]]-(Table1[[#This Row],[Revenue]]*Table1[[#This Row],[Discount]]/100)</f>
        <v>87694.5</v>
      </c>
    </row>
    <row r="337" spans="1:12" x14ac:dyDescent="0.55000000000000004">
      <c r="A337" t="s">
        <v>366</v>
      </c>
      <c r="B337" s="2">
        <v>45291</v>
      </c>
      <c r="C337" t="s">
        <v>19</v>
      </c>
      <c r="D337" t="s">
        <v>20</v>
      </c>
      <c r="E337" t="s">
        <v>17</v>
      </c>
      <c r="F337" t="s">
        <v>12</v>
      </c>
      <c r="G337">
        <v>44371</v>
      </c>
      <c r="H337">
        <v>8</v>
      </c>
      <c r="I337">
        <v>14</v>
      </c>
      <c r="J337" t="s">
        <v>25</v>
      </c>
      <c r="K337" s="4">
        <f>Table1[[#This Row],[Sales]]*Table1[[#This Row],[Quantity]]</f>
        <v>354968</v>
      </c>
      <c r="L337" s="4">
        <f>Table1[[#This Row],[Revenue]]-(Table1[[#This Row],[Revenue]]*Table1[[#This Row],[Discount]]/100)</f>
        <v>305272.48</v>
      </c>
    </row>
    <row r="338" spans="1:12" x14ac:dyDescent="0.55000000000000004">
      <c r="A338" t="s">
        <v>367</v>
      </c>
      <c r="B338" s="2">
        <v>44951</v>
      </c>
      <c r="C338" t="s">
        <v>15</v>
      </c>
      <c r="D338" t="s">
        <v>46</v>
      </c>
      <c r="E338" t="s">
        <v>17</v>
      </c>
      <c r="F338" t="s">
        <v>12</v>
      </c>
      <c r="G338">
        <v>30663</v>
      </c>
      <c r="H338">
        <v>7</v>
      </c>
      <c r="I338">
        <v>30</v>
      </c>
      <c r="J338" t="s">
        <v>13</v>
      </c>
      <c r="K338" s="4">
        <f>Table1[[#This Row],[Sales]]*Table1[[#This Row],[Quantity]]</f>
        <v>214641</v>
      </c>
      <c r="L338" s="4">
        <f>Table1[[#This Row],[Revenue]]-(Table1[[#This Row],[Revenue]]*Table1[[#This Row],[Discount]]/100)</f>
        <v>150248.70000000001</v>
      </c>
    </row>
    <row r="339" spans="1:12" x14ac:dyDescent="0.55000000000000004">
      <c r="A339" t="s">
        <v>368</v>
      </c>
      <c r="B339" s="2">
        <v>45009</v>
      </c>
      <c r="C339" t="s">
        <v>15</v>
      </c>
      <c r="D339" t="s">
        <v>16</v>
      </c>
      <c r="E339" t="s">
        <v>17</v>
      </c>
      <c r="F339" t="s">
        <v>12</v>
      </c>
      <c r="G339">
        <v>6921</v>
      </c>
      <c r="H339">
        <v>6</v>
      </c>
      <c r="I339">
        <v>10</v>
      </c>
      <c r="J339" t="s">
        <v>22</v>
      </c>
      <c r="K339" s="4">
        <f>Table1[[#This Row],[Sales]]*Table1[[#This Row],[Quantity]]</f>
        <v>41526</v>
      </c>
      <c r="L339" s="4">
        <f>Table1[[#This Row],[Revenue]]-(Table1[[#This Row],[Revenue]]*Table1[[#This Row],[Discount]]/100)</f>
        <v>37373.4</v>
      </c>
    </row>
    <row r="340" spans="1:12" x14ac:dyDescent="0.55000000000000004">
      <c r="A340" t="s">
        <v>369</v>
      </c>
      <c r="B340" s="2">
        <v>44943</v>
      </c>
      <c r="C340" t="s">
        <v>19</v>
      </c>
      <c r="D340" t="s">
        <v>20</v>
      </c>
      <c r="E340" t="s">
        <v>17</v>
      </c>
      <c r="F340" t="s">
        <v>38</v>
      </c>
      <c r="G340">
        <v>13622</v>
      </c>
      <c r="H340">
        <v>10</v>
      </c>
      <c r="I340">
        <v>8</v>
      </c>
      <c r="J340" t="s">
        <v>25</v>
      </c>
      <c r="K340" s="4">
        <f>Table1[[#This Row],[Sales]]*Table1[[#This Row],[Quantity]]</f>
        <v>136220</v>
      </c>
      <c r="L340" s="4">
        <f>Table1[[#This Row],[Revenue]]-(Table1[[#This Row],[Revenue]]*Table1[[#This Row],[Discount]]/100)</f>
        <v>125322.4</v>
      </c>
    </row>
    <row r="341" spans="1:12" x14ac:dyDescent="0.55000000000000004">
      <c r="A341" t="s">
        <v>370</v>
      </c>
      <c r="B341" s="2">
        <v>45053</v>
      </c>
      <c r="C341" t="s">
        <v>24</v>
      </c>
      <c r="D341" t="s">
        <v>27</v>
      </c>
      <c r="E341" t="s">
        <v>17</v>
      </c>
      <c r="F341" t="s">
        <v>44</v>
      </c>
      <c r="G341">
        <v>8258</v>
      </c>
      <c r="H341">
        <v>8</v>
      </c>
      <c r="I341">
        <v>0</v>
      </c>
      <c r="J341" t="s">
        <v>22</v>
      </c>
      <c r="K341" s="4">
        <f>Table1[[#This Row],[Sales]]*Table1[[#This Row],[Quantity]]</f>
        <v>66064</v>
      </c>
      <c r="L341" s="4">
        <f>Table1[[#This Row],[Revenue]]-(Table1[[#This Row],[Revenue]]*Table1[[#This Row],[Discount]]/100)</f>
        <v>66064</v>
      </c>
    </row>
    <row r="342" spans="1:12" x14ac:dyDescent="0.55000000000000004">
      <c r="A342" t="s">
        <v>371</v>
      </c>
      <c r="B342" s="2">
        <v>44971</v>
      </c>
      <c r="C342" t="s">
        <v>15</v>
      </c>
      <c r="D342" t="s">
        <v>37</v>
      </c>
      <c r="E342" t="s">
        <v>11</v>
      </c>
      <c r="F342" t="s">
        <v>38</v>
      </c>
      <c r="G342">
        <v>32728</v>
      </c>
      <c r="H342">
        <v>1</v>
      </c>
      <c r="I342">
        <v>9</v>
      </c>
      <c r="J342" t="s">
        <v>25</v>
      </c>
      <c r="K342" s="4">
        <f>Table1[[#This Row],[Sales]]*Table1[[#This Row],[Quantity]]</f>
        <v>32728</v>
      </c>
      <c r="L342" s="4">
        <f>Table1[[#This Row],[Revenue]]-(Table1[[#This Row],[Revenue]]*Table1[[#This Row],[Discount]]/100)</f>
        <v>29782.48</v>
      </c>
    </row>
    <row r="343" spans="1:12" x14ac:dyDescent="0.55000000000000004">
      <c r="A343" t="s">
        <v>372</v>
      </c>
      <c r="B343" s="2">
        <v>45187</v>
      </c>
      <c r="C343" t="s">
        <v>31</v>
      </c>
      <c r="D343" t="s">
        <v>37</v>
      </c>
      <c r="E343" t="s">
        <v>17</v>
      </c>
      <c r="F343" t="s">
        <v>44</v>
      </c>
      <c r="G343">
        <v>42095</v>
      </c>
      <c r="H343">
        <v>6</v>
      </c>
      <c r="I343">
        <v>17</v>
      </c>
      <c r="J343" t="s">
        <v>25</v>
      </c>
      <c r="K343" s="4">
        <f>Table1[[#This Row],[Sales]]*Table1[[#This Row],[Quantity]]</f>
        <v>252570</v>
      </c>
      <c r="L343" s="4">
        <f>Table1[[#This Row],[Revenue]]-(Table1[[#This Row],[Revenue]]*Table1[[#This Row],[Discount]]/100)</f>
        <v>209633.1</v>
      </c>
    </row>
    <row r="344" spans="1:12" x14ac:dyDescent="0.55000000000000004">
      <c r="A344" t="s">
        <v>373</v>
      </c>
      <c r="B344" s="2">
        <v>45036</v>
      </c>
      <c r="C344" t="s">
        <v>31</v>
      </c>
      <c r="D344" t="s">
        <v>27</v>
      </c>
      <c r="E344" t="s">
        <v>11</v>
      </c>
      <c r="F344" t="s">
        <v>21</v>
      </c>
      <c r="G344">
        <v>44014</v>
      </c>
      <c r="H344">
        <v>7</v>
      </c>
      <c r="I344">
        <v>18</v>
      </c>
      <c r="J344" t="s">
        <v>13</v>
      </c>
      <c r="K344" s="4">
        <f>Table1[[#This Row],[Sales]]*Table1[[#This Row],[Quantity]]</f>
        <v>308098</v>
      </c>
      <c r="L344" s="4">
        <f>Table1[[#This Row],[Revenue]]-(Table1[[#This Row],[Revenue]]*Table1[[#This Row],[Discount]]/100)</f>
        <v>252640.36</v>
      </c>
    </row>
    <row r="345" spans="1:12" x14ac:dyDescent="0.55000000000000004">
      <c r="A345" t="s">
        <v>374</v>
      </c>
      <c r="B345" s="2">
        <v>45116</v>
      </c>
      <c r="C345" t="s">
        <v>19</v>
      </c>
      <c r="D345" t="s">
        <v>27</v>
      </c>
      <c r="E345" t="s">
        <v>17</v>
      </c>
      <c r="F345" t="s">
        <v>21</v>
      </c>
      <c r="G345">
        <v>40380</v>
      </c>
      <c r="H345">
        <v>7</v>
      </c>
      <c r="I345">
        <v>5</v>
      </c>
      <c r="J345" t="s">
        <v>22</v>
      </c>
      <c r="K345" s="4">
        <f>Table1[[#This Row],[Sales]]*Table1[[#This Row],[Quantity]]</f>
        <v>282660</v>
      </c>
      <c r="L345" s="4">
        <f>Table1[[#This Row],[Revenue]]-(Table1[[#This Row],[Revenue]]*Table1[[#This Row],[Discount]]/100)</f>
        <v>268527</v>
      </c>
    </row>
    <row r="346" spans="1:12" x14ac:dyDescent="0.55000000000000004">
      <c r="A346" t="s">
        <v>375</v>
      </c>
      <c r="B346" s="2">
        <v>45037</v>
      </c>
      <c r="C346" t="s">
        <v>19</v>
      </c>
      <c r="D346" t="s">
        <v>37</v>
      </c>
      <c r="E346" t="s">
        <v>17</v>
      </c>
      <c r="F346" t="s">
        <v>34</v>
      </c>
      <c r="G346">
        <v>9775</v>
      </c>
      <c r="H346">
        <v>9</v>
      </c>
      <c r="I346">
        <v>8</v>
      </c>
      <c r="J346" t="s">
        <v>22</v>
      </c>
      <c r="K346" s="4">
        <f>Table1[[#This Row],[Sales]]*Table1[[#This Row],[Quantity]]</f>
        <v>87975</v>
      </c>
      <c r="L346" s="4">
        <f>Table1[[#This Row],[Revenue]]-(Table1[[#This Row],[Revenue]]*Table1[[#This Row],[Discount]]/100)</f>
        <v>80937</v>
      </c>
    </row>
    <row r="347" spans="1:12" x14ac:dyDescent="0.55000000000000004">
      <c r="A347" t="s">
        <v>376</v>
      </c>
      <c r="B347" s="2">
        <v>45167</v>
      </c>
      <c r="C347" t="s">
        <v>24</v>
      </c>
      <c r="D347" t="s">
        <v>16</v>
      </c>
      <c r="E347" t="s">
        <v>11</v>
      </c>
      <c r="F347" t="s">
        <v>48</v>
      </c>
      <c r="G347">
        <v>13462</v>
      </c>
      <c r="H347">
        <v>8</v>
      </c>
      <c r="I347">
        <v>28</v>
      </c>
      <c r="J347" t="s">
        <v>25</v>
      </c>
      <c r="K347" s="4">
        <f>Table1[[#This Row],[Sales]]*Table1[[#This Row],[Quantity]]</f>
        <v>107696</v>
      </c>
      <c r="L347" s="4">
        <f>Table1[[#This Row],[Revenue]]-(Table1[[#This Row],[Revenue]]*Table1[[#This Row],[Discount]]/100)</f>
        <v>77541.119999999995</v>
      </c>
    </row>
    <row r="348" spans="1:12" x14ac:dyDescent="0.55000000000000004">
      <c r="A348" t="s">
        <v>377</v>
      </c>
      <c r="B348" s="2">
        <v>45136</v>
      </c>
      <c r="C348" t="s">
        <v>31</v>
      </c>
      <c r="D348" t="s">
        <v>20</v>
      </c>
      <c r="E348" t="s">
        <v>11</v>
      </c>
      <c r="F348" t="s">
        <v>48</v>
      </c>
      <c r="G348">
        <v>23485</v>
      </c>
      <c r="H348">
        <v>10</v>
      </c>
      <c r="I348">
        <v>18</v>
      </c>
      <c r="J348" t="s">
        <v>25</v>
      </c>
      <c r="K348" s="4">
        <f>Table1[[#This Row],[Sales]]*Table1[[#This Row],[Quantity]]</f>
        <v>234850</v>
      </c>
      <c r="L348" s="4">
        <f>Table1[[#This Row],[Revenue]]-(Table1[[#This Row],[Revenue]]*Table1[[#This Row],[Discount]]/100)</f>
        <v>192577</v>
      </c>
    </row>
    <row r="349" spans="1:12" x14ac:dyDescent="0.55000000000000004">
      <c r="A349" t="s">
        <v>378</v>
      </c>
      <c r="B349" s="2">
        <v>45168</v>
      </c>
      <c r="C349" t="s">
        <v>24</v>
      </c>
      <c r="D349" t="s">
        <v>37</v>
      </c>
      <c r="E349" t="s">
        <v>17</v>
      </c>
      <c r="F349" t="s">
        <v>44</v>
      </c>
      <c r="G349">
        <v>2295</v>
      </c>
      <c r="H349">
        <v>7</v>
      </c>
      <c r="I349">
        <v>13</v>
      </c>
      <c r="J349" t="s">
        <v>22</v>
      </c>
      <c r="K349" s="4">
        <f>Table1[[#This Row],[Sales]]*Table1[[#This Row],[Quantity]]</f>
        <v>16065</v>
      </c>
      <c r="L349" s="4">
        <f>Table1[[#This Row],[Revenue]]-(Table1[[#This Row],[Revenue]]*Table1[[#This Row],[Discount]]/100)</f>
        <v>13976.55</v>
      </c>
    </row>
    <row r="350" spans="1:12" x14ac:dyDescent="0.55000000000000004">
      <c r="A350" t="s">
        <v>379</v>
      </c>
      <c r="B350" s="2">
        <v>44966</v>
      </c>
      <c r="C350" t="s">
        <v>19</v>
      </c>
      <c r="D350" t="s">
        <v>27</v>
      </c>
      <c r="E350" t="s">
        <v>17</v>
      </c>
      <c r="F350" t="s">
        <v>29</v>
      </c>
      <c r="G350">
        <v>1511</v>
      </c>
      <c r="H350">
        <v>2</v>
      </c>
      <c r="I350">
        <v>8</v>
      </c>
      <c r="J350" t="s">
        <v>13</v>
      </c>
      <c r="K350" s="4">
        <f>Table1[[#This Row],[Sales]]*Table1[[#This Row],[Quantity]]</f>
        <v>3022</v>
      </c>
      <c r="L350" s="4">
        <f>Table1[[#This Row],[Revenue]]-(Table1[[#This Row],[Revenue]]*Table1[[#This Row],[Discount]]/100)</f>
        <v>2780.24</v>
      </c>
    </row>
    <row r="351" spans="1:12" x14ac:dyDescent="0.55000000000000004">
      <c r="A351" t="s">
        <v>380</v>
      </c>
      <c r="B351" s="2">
        <v>45149</v>
      </c>
      <c r="C351" t="s">
        <v>24</v>
      </c>
      <c r="D351" t="s">
        <v>37</v>
      </c>
      <c r="E351" t="s">
        <v>17</v>
      </c>
      <c r="F351" t="s">
        <v>29</v>
      </c>
      <c r="G351">
        <v>22904</v>
      </c>
      <c r="H351">
        <v>10</v>
      </c>
      <c r="I351">
        <v>4</v>
      </c>
      <c r="J351" t="s">
        <v>22</v>
      </c>
      <c r="K351" s="4">
        <f>Table1[[#This Row],[Sales]]*Table1[[#This Row],[Quantity]]</f>
        <v>229040</v>
      </c>
      <c r="L351" s="4">
        <f>Table1[[#This Row],[Revenue]]-(Table1[[#This Row],[Revenue]]*Table1[[#This Row],[Discount]]/100)</f>
        <v>219878.39999999999</v>
      </c>
    </row>
    <row r="352" spans="1:12" x14ac:dyDescent="0.55000000000000004">
      <c r="A352" t="s">
        <v>381</v>
      </c>
      <c r="B352" s="2">
        <v>44954</v>
      </c>
      <c r="C352" t="s">
        <v>24</v>
      </c>
      <c r="D352" t="s">
        <v>20</v>
      </c>
      <c r="E352" t="s">
        <v>11</v>
      </c>
      <c r="F352" t="s">
        <v>21</v>
      </c>
      <c r="G352">
        <v>20177</v>
      </c>
      <c r="H352">
        <v>3</v>
      </c>
      <c r="I352">
        <v>6</v>
      </c>
      <c r="J352" t="s">
        <v>13</v>
      </c>
      <c r="K352" s="4">
        <f>Table1[[#This Row],[Sales]]*Table1[[#This Row],[Quantity]]</f>
        <v>60531</v>
      </c>
      <c r="L352" s="4">
        <f>Table1[[#This Row],[Revenue]]-(Table1[[#This Row],[Revenue]]*Table1[[#This Row],[Discount]]/100)</f>
        <v>56899.14</v>
      </c>
    </row>
    <row r="353" spans="1:12" x14ac:dyDescent="0.55000000000000004">
      <c r="A353" t="s">
        <v>382</v>
      </c>
      <c r="B353" s="2">
        <v>44960</v>
      </c>
      <c r="C353" t="s">
        <v>19</v>
      </c>
      <c r="D353" t="s">
        <v>20</v>
      </c>
      <c r="E353" t="s">
        <v>11</v>
      </c>
      <c r="F353" t="s">
        <v>12</v>
      </c>
      <c r="G353">
        <v>10127</v>
      </c>
      <c r="H353">
        <v>7</v>
      </c>
      <c r="I353">
        <v>2</v>
      </c>
      <c r="J353" t="s">
        <v>22</v>
      </c>
      <c r="K353" s="4">
        <f>Table1[[#This Row],[Sales]]*Table1[[#This Row],[Quantity]]</f>
        <v>70889</v>
      </c>
      <c r="L353" s="4">
        <f>Table1[[#This Row],[Revenue]]-(Table1[[#This Row],[Revenue]]*Table1[[#This Row],[Discount]]/100)</f>
        <v>69471.22</v>
      </c>
    </row>
    <row r="354" spans="1:12" x14ac:dyDescent="0.55000000000000004">
      <c r="A354" t="s">
        <v>383</v>
      </c>
      <c r="B354" s="2">
        <v>45102</v>
      </c>
      <c r="C354" t="s">
        <v>15</v>
      </c>
      <c r="D354" t="s">
        <v>20</v>
      </c>
      <c r="E354" t="s">
        <v>17</v>
      </c>
      <c r="F354" t="s">
        <v>34</v>
      </c>
      <c r="G354">
        <v>4768</v>
      </c>
      <c r="H354">
        <v>5</v>
      </c>
      <c r="I354">
        <v>22</v>
      </c>
      <c r="J354" t="s">
        <v>13</v>
      </c>
      <c r="K354" s="4">
        <f>Table1[[#This Row],[Sales]]*Table1[[#This Row],[Quantity]]</f>
        <v>23840</v>
      </c>
      <c r="L354" s="4">
        <f>Table1[[#This Row],[Revenue]]-(Table1[[#This Row],[Revenue]]*Table1[[#This Row],[Discount]]/100)</f>
        <v>18595.2</v>
      </c>
    </row>
    <row r="355" spans="1:12" x14ac:dyDescent="0.55000000000000004">
      <c r="A355" t="s">
        <v>384</v>
      </c>
      <c r="B355" s="2">
        <v>45048</v>
      </c>
      <c r="C355" t="s">
        <v>15</v>
      </c>
      <c r="D355" t="s">
        <v>16</v>
      </c>
      <c r="E355" t="s">
        <v>11</v>
      </c>
      <c r="F355" t="s">
        <v>34</v>
      </c>
      <c r="G355">
        <v>34351</v>
      </c>
      <c r="H355">
        <v>2</v>
      </c>
      <c r="I355">
        <v>17</v>
      </c>
      <c r="J355" t="s">
        <v>22</v>
      </c>
      <c r="K355" s="4">
        <f>Table1[[#This Row],[Sales]]*Table1[[#This Row],[Quantity]]</f>
        <v>68702</v>
      </c>
      <c r="L355" s="4">
        <f>Table1[[#This Row],[Revenue]]-(Table1[[#This Row],[Revenue]]*Table1[[#This Row],[Discount]]/100)</f>
        <v>57022.66</v>
      </c>
    </row>
    <row r="356" spans="1:12" x14ac:dyDescent="0.55000000000000004">
      <c r="A356" t="s">
        <v>385</v>
      </c>
      <c r="B356" s="2">
        <v>44957</v>
      </c>
      <c r="C356" t="s">
        <v>31</v>
      </c>
      <c r="D356" t="s">
        <v>27</v>
      </c>
      <c r="E356" t="s">
        <v>17</v>
      </c>
      <c r="F356" t="s">
        <v>29</v>
      </c>
      <c r="G356">
        <v>14341</v>
      </c>
      <c r="H356">
        <v>8</v>
      </c>
      <c r="I356">
        <v>5</v>
      </c>
      <c r="J356" t="s">
        <v>25</v>
      </c>
      <c r="K356" s="4">
        <f>Table1[[#This Row],[Sales]]*Table1[[#This Row],[Quantity]]</f>
        <v>114728</v>
      </c>
      <c r="L356" s="4">
        <f>Table1[[#This Row],[Revenue]]-(Table1[[#This Row],[Revenue]]*Table1[[#This Row],[Discount]]/100)</f>
        <v>108991.6</v>
      </c>
    </row>
    <row r="357" spans="1:12" x14ac:dyDescent="0.55000000000000004">
      <c r="A357" t="s">
        <v>386</v>
      </c>
      <c r="B357" s="2">
        <v>45050</v>
      </c>
      <c r="C357" t="s">
        <v>31</v>
      </c>
      <c r="D357" t="s">
        <v>16</v>
      </c>
      <c r="E357" t="s">
        <v>11</v>
      </c>
      <c r="F357" t="s">
        <v>21</v>
      </c>
      <c r="G357">
        <v>18013</v>
      </c>
      <c r="H357">
        <v>6</v>
      </c>
      <c r="I357">
        <v>30</v>
      </c>
      <c r="J357" t="s">
        <v>25</v>
      </c>
      <c r="K357" s="4">
        <f>Table1[[#This Row],[Sales]]*Table1[[#This Row],[Quantity]]</f>
        <v>108078</v>
      </c>
      <c r="L357" s="4">
        <f>Table1[[#This Row],[Revenue]]-(Table1[[#This Row],[Revenue]]*Table1[[#This Row],[Discount]]/100)</f>
        <v>75654.600000000006</v>
      </c>
    </row>
    <row r="358" spans="1:12" x14ac:dyDescent="0.55000000000000004">
      <c r="A358" t="s">
        <v>387</v>
      </c>
      <c r="B358" s="2">
        <v>44957</v>
      </c>
      <c r="C358" t="s">
        <v>24</v>
      </c>
      <c r="D358" t="s">
        <v>20</v>
      </c>
      <c r="E358" t="s">
        <v>11</v>
      </c>
      <c r="F358" t="s">
        <v>29</v>
      </c>
      <c r="G358">
        <v>38670</v>
      </c>
      <c r="H358">
        <v>3</v>
      </c>
      <c r="I358">
        <v>5</v>
      </c>
      <c r="J358" t="s">
        <v>13</v>
      </c>
      <c r="K358" s="4">
        <f>Table1[[#This Row],[Sales]]*Table1[[#This Row],[Quantity]]</f>
        <v>116010</v>
      </c>
      <c r="L358" s="4">
        <f>Table1[[#This Row],[Revenue]]-(Table1[[#This Row],[Revenue]]*Table1[[#This Row],[Discount]]/100)</f>
        <v>110209.5</v>
      </c>
    </row>
    <row r="359" spans="1:12" x14ac:dyDescent="0.55000000000000004">
      <c r="A359" t="s">
        <v>388</v>
      </c>
      <c r="B359" s="2">
        <v>45147</v>
      </c>
      <c r="C359" t="s">
        <v>24</v>
      </c>
      <c r="D359" t="s">
        <v>37</v>
      </c>
      <c r="E359" t="s">
        <v>17</v>
      </c>
      <c r="F359" t="s">
        <v>12</v>
      </c>
      <c r="G359">
        <v>5533</v>
      </c>
      <c r="H359">
        <v>4</v>
      </c>
      <c r="I359">
        <v>14</v>
      </c>
      <c r="J359" t="s">
        <v>22</v>
      </c>
      <c r="K359" s="4">
        <f>Table1[[#This Row],[Sales]]*Table1[[#This Row],[Quantity]]</f>
        <v>22132</v>
      </c>
      <c r="L359" s="4">
        <f>Table1[[#This Row],[Revenue]]-(Table1[[#This Row],[Revenue]]*Table1[[#This Row],[Discount]]/100)</f>
        <v>19033.52</v>
      </c>
    </row>
    <row r="360" spans="1:12" x14ac:dyDescent="0.55000000000000004">
      <c r="A360" t="s">
        <v>389</v>
      </c>
      <c r="B360" s="2">
        <v>45166</v>
      </c>
      <c r="C360" t="s">
        <v>15</v>
      </c>
      <c r="D360" t="s">
        <v>20</v>
      </c>
      <c r="E360" t="s">
        <v>17</v>
      </c>
      <c r="F360" t="s">
        <v>34</v>
      </c>
      <c r="G360">
        <v>49138</v>
      </c>
      <c r="H360">
        <v>7</v>
      </c>
      <c r="I360">
        <v>25</v>
      </c>
      <c r="J360" t="s">
        <v>13</v>
      </c>
      <c r="K360" s="4">
        <f>Table1[[#This Row],[Sales]]*Table1[[#This Row],[Quantity]]</f>
        <v>343966</v>
      </c>
      <c r="L360" s="4">
        <f>Table1[[#This Row],[Revenue]]-(Table1[[#This Row],[Revenue]]*Table1[[#This Row],[Discount]]/100)</f>
        <v>257974.5</v>
      </c>
    </row>
    <row r="361" spans="1:12" x14ac:dyDescent="0.55000000000000004">
      <c r="A361" t="s">
        <v>390</v>
      </c>
      <c r="B361" s="2">
        <v>45069</v>
      </c>
      <c r="C361" t="s">
        <v>15</v>
      </c>
      <c r="D361" t="s">
        <v>46</v>
      </c>
      <c r="E361" t="s">
        <v>17</v>
      </c>
      <c r="F361" t="s">
        <v>34</v>
      </c>
      <c r="G361">
        <v>18522</v>
      </c>
      <c r="H361">
        <v>8</v>
      </c>
      <c r="I361">
        <v>0</v>
      </c>
      <c r="J361" t="s">
        <v>13</v>
      </c>
      <c r="K361" s="4">
        <f>Table1[[#This Row],[Sales]]*Table1[[#This Row],[Quantity]]</f>
        <v>148176</v>
      </c>
      <c r="L361" s="4">
        <f>Table1[[#This Row],[Revenue]]-(Table1[[#This Row],[Revenue]]*Table1[[#This Row],[Discount]]/100)</f>
        <v>148176</v>
      </c>
    </row>
    <row r="362" spans="1:12" x14ac:dyDescent="0.55000000000000004">
      <c r="A362" t="s">
        <v>391</v>
      </c>
      <c r="B362" s="2">
        <v>45090</v>
      </c>
      <c r="C362" t="s">
        <v>24</v>
      </c>
      <c r="D362" t="s">
        <v>20</v>
      </c>
      <c r="E362" t="s">
        <v>17</v>
      </c>
      <c r="F362" t="s">
        <v>38</v>
      </c>
      <c r="G362">
        <v>33130</v>
      </c>
      <c r="H362">
        <v>5</v>
      </c>
      <c r="I362">
        <v>16</v>
      </c>
      <c r="J362" t="s">
        <v>13</v>
      </c>
      <c r="K362" s="4">
        <f>Table1[[#This Row],[Sales]]*Table1[[#This Row],[Quantity]]</f>
        <v>165650</v>
      </c>
      <c r="L362" s="4">
        <f>Table1[[#This Row],[Revenue]]-(Table1[[#This Row],[Revenue]]*Table1[[#This Row],[Discount]]/100)</f>
        <v>139146</v>
      </c>
    </row>
    <row r="363" spans="1:12" x14ac:dyDescent="0.55000000000000004">
      <c r="A363" t="s">
        <v>392</v>
      </c>
      <c r="B363" s="2">
        <v>45204</v>
      </c>
      <c r="C363" t="s">
        <v>15</v>
      </c>
      <c r="D363" t="s">
        <v>16</v>
      </c>
      <c r="E363" t="s">
        <v>17</v>
      </c>
      <c r="F363" t="s">
        <v>38</v>
      </c>
      <c r="G363">
        <v>25238</v>
      </c>
      <c r="H363">
        <v>5</v>
      </c>
      <c r="I363">
        <v>30</v>
      </c>
      <c r="J363" t="s">
        <v>25</v>
      </c>
      <c r="K363" s="4">
        <f>Table1[[#This Row],[Sales]]*Table1[[#This Row],[Quantity]]</f>
        <v>126190</v>
      </c>
      <c r="L363" s="4">
        <f>Table1[[#This Row],[Revenue]]-(Table1[[#This Row],[Revenue]]*Table1[[#This Row],[Discount]]/100)</f>
        <v>88333</v>
      </c>
    </row>
    <row r="364" spans="1:12" x14ac:dyDescent="0.55000000000000004">
      <c r="A364" t="s">
        <v>393</v>
      </c>
      <c r="B364" s="2">
        <v>44931</v>
      </c>
      <c r="C364" t="s">
        <v>15</v>
      </c>
      <c r="D364" t="s">
        <v>20</v>
      </c>
      <c r="E364" t="s">
        <v>11</v>
      </c>
      <c r="F364" t="s">
        <v>12</v>
      </c>
      <c r="G364">
        <v>4125</v>
      </c>
      <c r="H364">
        <v>7</v>
      </c>
      <c r="I364">
        <v>13</v>
      </c>
      <c r="J364" t="s">
        <v>13</v>
      </c>
      <c r="K364" s="4">
        <f>Table1[[#This Row],[Sales]]*Table1[[#This Row],[Quantity]]</f>
        <v>28875</v>
      </c>
      <c r="L364" s="4">
        <f>Table1[[#This Row],[Revenue]]-(Table1[[#This Row],[Revenue]]*Table1[[#This Row],[Discount]]/100)</f>
        <v>25121.25</v>
      </c>
    </row>
    <row r="365" spans="1:12" x14ac:dyDescent="0.55000000000000004">
      <c r="A365" t="s">
        <v>394</v>
      </c>
      <c r="B365" s="2">
        <v>45167</v>
      </c>
      <c r="C365" t="s">
        <v>15</v>
      </c>
      <c r="D365" t="s">
        <v>37</v>
      </c>
      <c r="E365" t="s">
        <v>17</v>
      </c>
      <c r="F365" t="s">
        <v>34</v>
      </c>
      <c r="G365">
        <v>13484</v>
      </c>
      <c r="H365">
        <v>8</v>
      </c>
      <c r="I365">
        <v>29</v>
      </c>
      <c r="J365" t="s">
        <v>25</v>
      </c>
      <c r="K365" s="4">
        <f>Table1[[#This Row],[Sales]]*Table1[[#This Row],[Quantity]]</f>
        <v>107872</v>
      </c>
      <c r="L365" s="4">
        <f>Table1[[#This Row],[Revenue]]-(Table1[[#This Row],[Revenue]]*Table1[[#This Row],[Discount]]/100)</f>
        <v>76589.119999999995</v>
      </c>
    </row>
    <row r="366" spans="1:12" x14ac:dyDescent="0.55000000000000004">
      <c r="A366" t="s">
        <v>395</v>
      </c>
      <c r="B366" s="2">
        <v>44975</v>
      </c>
      <c r="C366" t="s">
        <v>15</v>
      </c>
      <c r="D366" t="s">
        <v>16</v>
      </c>
      <c r="E366" t="s">
        <v>17</v>
      </c>
      <c r="F366" t="s">
        <v>38</v>
      </c>
      <c r="G366">
        <v>47031</v>
      </c>
      <c r="H366">
        <v>2</v>
      </c>
      <c r="I366">
        <v>23</v>
      </c>
      <c r="J366" t="s">
        <v>25</v>
      </c>
      <c r="K366" s="4">
        <f>Table1[[#This Row],[Sales]]*Table1[[#This Row],[Quantity]]</f>
        <v>94062</v>
      </c>
      <c r="L366" s="4">
        <f>Table1[[#This Row],[Revenue]]-(Table1[[#This Row],[Revenue]]*Table1[[#This Row],[Discount]]/100)</f>
        <v>72427.740000000005</v>
      </c>
    </row>
    <row r="367" spans="1:12" x14ac:dyDescent="0.55000000000000004">
      <c r="A367" t="s">
        <v>396</v>
      </c>
      <c r="B367" s="2">
        <v>45033</v>
      </c>
      <c r="C367" t="s">
        <v>15</v>
      </c>
      <c r="D367" t="s">
        <v>16</v>
      </c>
      <c r="E367" t="s">
        <v>11</v>
      </c>
      <c r="F367" t="s">
        <v>12</v>
      </c>
      <c r="G367">
        <v>15124</v>
      </c>
      <c r="H367">
        <v>10</v>
      </c>
      <c r="I367">
        <v>28</v>
      </c>
      <c r="J367" t="s">
        <v>22</v>
      </c>
      <c r="K367" s="4">
        <f>Table1[[#This Row],[Sales]]*Table1[[#This Row],[Quantity]]</f>
        <v>151240</v>
      </c>
      <c r="L367" s="4">
        <f>Table1[[#This Row],[Revenue]]-(Table1[[#This Row],[Revenue]]*Table1[[#This Row],[Discount]]/100)</f>
        <v>108892.8</v>
      </c>
    </row>
    <row r="368" spans="1:12" x14ac:dyDescent="0.55000000000000004">
      <c r="A368" t="s">
        <v>397</v>
      </c>
      <c r="B368" s="2">
        <v>44968</v>
      </c>
      <c r="C368" t="s">
        <v>24</v>
      </c>
      <c r="D368" t="s">
        <v>37</v>
      </c>
      <c r="E368" t="s">
        <v>17</v>
      </c>
      <c r="F368" t="s">
        <v>34</v>
      </c>
      <c r="G368">
        <v>42447</v>
      </c>
      <c r="H368">
        <v>9</v>
      </c>
      <c r="I368">
        <v>21</v>
      </c>
      <c r="J368" t="s">
        <v>13</v>
      </c>
      <c r="K368" s="4">
        <f>Table1[[#This Row],[Sales]]*Table1[[#This Row],[Quantity]]</f>
        <v>382023</v>
      </c>
      <c r="L368" s="4">
        <f>Table1[[#This Row],[Revenue]]-(Table1[[#This Row],[Revenue]]*Table1[[#This Row],[Discount]]/100)</f>
        <v>301798.17</v>
      </c>
    </row>
    <row r="369" spans="1:12" x14ac:dyDescent="0.55000000000000004">
      <c r="A369" t="s">
        <v>398</v>
      </c>
      <c r="B369" s="2">
        <v>45172</v>
      </c>
      <c r="C369" t="s">
        <v>31</v>
      </c>
      <c r="D369" t="s">
        <v>46</v>
      </c>
      <c r="E369" t="s">
        <v>11</v>
      </c>
      <c r="F369" t="s">
        <v>48</v>
      </c>
      <c r="G369">
        <v>45228</v>
      </c>
      <c r="H369">
        <v>10</v>
      </c>
      <c r="I369">
        <v>23</v>
      </c>
      <c r="J369" t="s">
        <v>13</v>
      </c>
      <c r="K369" s="4">
        <f>Table1[[#This Row],[Sales]]*Table1[[#This Row],[Quantity]]</f>
        <v>452280</v>
      </c>
      <c r="L369" s="4">
        <f>Table1[[#This Row],[Revenue]]-(Table1[[#This Row],[Revenue]]*Table1[[#This Row],[Discount]]/100)</f>
        <v>348255.6</v>
      </c>
    </row>
    <row r="370" spans="1:12" x14ac:dyDescent="0.55000000000000004">
      <c r="A370" t="s">
        <v>399</v>
      </c>
      <c r="B370" s="2">
        <v>45204</v>
      </c>
      <c r="C370" t="s">
        <v>24</v>
      </c>
      <c r="D370" t="s">
        <v>16</v>
      </c>
      <c r="E370" t="s">
        <v>17</v>
      </c>
      <c r="F370" t="s">
        <v>38</v>
      </c>
      <c r="G370">
        <v>5004</v>
      </c>
      <c r="H370">
        <v>10</v>
      </c>
      <c r="I370">
        <v>1</v>
      </c>
      <c r="J370" t="s">
        <v>22</v>
      </c>
      <c r="K370" s="4">
        <f>Table1[[#This Row],[Sales]]*Table1[[#This Row],[Quantity]]</f>
        <v>50040</v>
      </c>
      <c r="L370" s="4">
        <f>Table1[[#This Row],[Revenue]]-(Table1[[#This Row],[Revenue]]*Table1[[#This Row],[Discount]]/100)</f>
        <v>49539.6</v>
      </c>
    </row>
    <row r="371" spans="1:12" x14ac:dyDescent="0.55000000000000004">
      <c r="A371" t="s">
        <v>400</v>
      </c>
      <c r="B371" s="2">
        <v>44959</v>
      </c>
      <c r="C371" t="s">
        <v>19</v>
      </c>
      <c r="D371" t="s">
        <v>46</v>
      </c>
      <c r="E371" t="s">
        <v>17</v>
      </c>
      <c r="F371" t="s">
        <v>44</v>
      </c>
      <c r="G371">
        <v>43500</v>
      </c>
      <c r="H371">
        <v>9</v>
      </c>
      <c r="I371">
        <v>21</v>
      </c>
      <c r="J371" t="s">
        <v>22</v>
      </c>
      <c r="K371" s="4">
        <f>Table1[[#This Row],[Sales]]*Table1[[#This Row],[Quantity]]</f>
        <v>391500</v>
      </c>
      <c r="L371" s="4">
        <f>Table1[[#This Row],[Revenue]]-(Table1[[#This Row],[Revenue]]*Table1[[#This Row],[Discount]]/100)</f>
        <v>309285</v>
      </c>
    </row>
    <row r="372" spans="1:12" x14ac:dyDescent="0.55000000000000004">
      <c r="A372" t="s">
        <v>401</v>
      </c>
      <c r="B372" s="2">
        <v>45037</v>
      </c>
      <c r="C372" t="s">
        <v>24</v>
      </c>
      <c r="D372" t="s">
        <v>20</v>
      </c>
      <c r="E372" t="s">
        <v>17</v>
      </c>
      <c r="F372" t="s">
        <v>38</v>
      </c>
      <c r="G372">
        <v>9512</v>
      </c>
      <c r="H372">
        <v>9</v>
      </c>
      <c r="I372">
        <v>13</v>
      </c>
      <c r="J372" t="s">
        <v>25</v>
      </c>
      <c r="K372" s="4">
        <f>Table1[[#This Row],[Sales]]*Table1[[#This Row],[Quantity]]</f>
        <v>85608</v>
      </c>
      <c r="L372" s="4">
        <f>Table1[[#This Row],[Revenue]]-(Table1[[#This Row],[Revenue]]*Table1[[#This Row],[Discount]]/100)</f>
        <v>74478.959999999992</v>
      </c>
    </row>
    <row r="373" spans="1:12" x14ac:dyDescent="0.55000000000000004">
      <c r="A373" t="s">
        <v>402</v>
      </c>
      <c r="B373" s="2">
        <v>45132</v>
      </c>
      <c r="C373" t="s">
        <v>15</v>
      </c>
      <c r="D373" t="s">
        <v>46</v>
      </c>
      <c r="E373" t="s">
        <v>17</v>
      </c>
      <c r="F373" t="s">
        <v>38</v>
      </c>
      <c r="G373">
        <v>31320</v>
      </c>
      <c r="H373">
        <v>2</v>
      </c>
      <c r="I373">
        <v>15</v>
      </c>
      <c r="J373" t="s">
        <v>25</v>
      </c>
      <c r="K373" s="4">
        <f>Table1[[#This Row],[Sales]]*Table1[[#This Row],[Quantity]]</f>
        <v>62640</v>
      </c>
      <c r="L373" s="4">
        <f>Table1[[#This Row],[Revenue]]-(Table1[[#This Row],[Revenue]]*Table1[[#This Row],[Discount]]/100)</f>
        <v>53244</v>
      </c>
    </row>
    <row r="374" spans="1:12" x14ac:dyDescent="0.55000000000000004">
      <c r="A374" t="s">
        <v>403</v>
      </c>
      <c r="B374" s="2">
        <v>45265</v>
      </c>
      <c r="C374" t="s">
        <v>31</v>
      </c>
      <c r="D374" t="s">
        <v>20</v>
      </c>
      <c r="E374" t="s">
        <v>11</v>
      </c>
      <c r="F374" t="s">
        <v>48</v>
      </c>
      <c r="G374">
        <v>42081</v>
      </c>
      <c r="H374">
        <v>4</v>
      </c>
      <c r="I374">
        <v>26</v>
      </c>
      <c r="J374" t="s">
        <v>22</v>
      </c>
      <c r="K374" s="4">
        <f>Table1[[#This Row],[Sales]]*Table1[[#This Row],[Quantity]]</f>
        <v>168324</v>
      </c>
      <c r="L374" s="4">
        <f>Table1[[#This Row],[Revenue]]-(Table1[[#This Row],[Revenue]]*Table1[[#This Row],[Discount]]/100)</f>
        <v>124559.76000000001</v>
      </c>
    </row>
    <row r="375" spans="1:12" x14ac:dyDescent="0.55000000000000004">
      <c r="A375" t="s">
        <v>404</v>
      </c>
      <c r="B375" s="2">
        <v>45284</v>
      </c>
      <c r="C375" t="s">
        <v>19</v>
      </c>
      <c r="D375" t="s">
        <v>16</v>
      </c>
      <c r="E375" t="s">
        <v>11</v>
      </c>
      <c r="F375" t="s">
        <v>29</v>
      </c>
      <c r="G375">
        <v>40149</v>
      </c>
      <c r="H375">
        <v>3</v>
      </c>
      <c r="I375">
        <v>14</v>
      </c>
      <c r="J375" t="s">
        <v>25</v>
      </c>
      <c r="K375" s="4">
        <f>Table1[[#This Row],[Sales]]*Table1[[#This Row],[Quantity]]</f>
        <v>120447</v>
      </c>
      <c r="L375" s="4">
        <f>Table1[[#This Row],[Revenue]]-(Table1[[#This Row],[Revenue]]*Table1[[#This Row],[Discount]]/100)</f>
        <v>103584.42</v>
      </c>
    </row>
    <row r="376" spans="1:12" x14ac:dyDescent="0.55000000000000004">
      <c r="A376" t="s">
        <v>405</v>
      </c>
      <c r="B376" s="2">
        <v>44981</v>
      </c>
      <c r="C376" t="s">
        <v>15</v>
      </c>
      <c r="D376" t="s">
        <v>16</v>
      </c>
      <c r="E376" t="s">
        <v>11</v>
      </c>
      <c r="F376" t="s">
        <v>48</v>
      </c>
      <c r="G376">
        <v>8445</v>
      </c>
      <c r="H376">
        <v>3</v>
      </c>
      <c r="I376">
        <v>12</v>
      </c>
      <c r="J376" t="s">
        <v>13</v>
      </c>
      <c r="K376" s="4">
        <f>Table1[[#This Row],[Sales]]*Table1[[#This Row],[Quantity]]</f>
        <v>25335</v>
      </c>
      <c r="L376" s="4">
        <f>Table1[[#This Row],[Revenue]]-(Table1[[#This Row],[Revenue]]*Table1[[#This Row],[Discount]]/100)</f>
        <v>22294.799999999999</v>
      </c>
    </row>
    <row r="377" spans="1:12" x14ac:dyDescent="0.55000000000000004">
      <c r="A377" t="s">
        <v>406</v>
      </c>
      <c r="B377" s="2">
        <v>45265</v>
      </c>
      <c r="C377" t="s">
        <v>15</v>
      </c>
      <c r="D377" t="s">
        <v>46</v>
      </c>
      <c r="E377" t="s">
        <v>17</v>
      </c>
      <c r="F377" t="s">
        <v>38</v>
      </c>
      <c r="G377">
        <v>49616</v>
      </c>
      <c r="H377">
        <v>2</v>
      </c>
      <c r="I377">
        <v>5</v>
      </c>
      <c r="J377" t="s">
        <v>13</v>
      </c>
      <c r="K377" s="4">
        <f>Table1[[#This Row],[Sales]]*Table1[[#This Row],[Quantity]]</f>
        <v>99232</v>
      </c>
      <c r="L377" s="4">
        <f>Table1[[#This Row],[Revenue]]-(Table1[[#This Row],[Revenue]]*Table1[[#This Row],[Discount]]/100)</f>
        <v>94270.399999999994</v>
      </c>
    </row>
    <row r="378" spans="1:12" x14ac:dyDescent="0.55000000000000004">
      <c r="A378" t="s">
        <v>407</v>
      </c>
      <c r="B378" s="2">
        <v>45187</v>
      </c>
      <c r="C378" t="s">
        <v>31</v>
      </c>
      <c r="D378" t="s">
        <v>20</v>
      </c>
      <c r="E378" t="s">
        <v>17</v>
      </c>
      <c r="F378" t="s">
        <v>29</v>
      </c>
      <c r="G378">
        <v>5303</v>
      </c>
      <c r="H378">
        <v>9</v>
      </c>
      <c r="I378">
        <v>21</v>
      </c>
      <c r="J378" t="s">
        <v>22</v>
      </c>
      <c r="K378" s="4">
        <f>Table1[[#This Row],[Sales]]*Table1[[#This Row],[Quantity]]</f>
        <v>47727</v>
      </c>
      <c r="L378" s="4">
        <f>Table1[[#This Row],[Revenue]]-(Table1[[#This Row],[Revenue]]*Table1[[#This Row],[Discount]]/100)</f>
        <v>37704.33</v>
      </c>
    </row>
    <row r="379" spans="1:12" x14ac:dyDescent="0.55000000000000004">
      <c r="A379" t="s">
        <v>408</v>
      </c>
      <c r="B379" s="2">
        <v>45040</v>
      </c>
      <c r="C379" t="s">
        <v>15</v>
      </c>
      <c r="D379" t="s">
        <v>16</v>
      </c>
      <c r="E379" t="s">
        <v>11</v>
      </c>
      <c r="F379" t="s">
        <v>38</v>
      </c>
      <c r="G379">
        <v>37710</v>
      </c>
      <c r="H379">
        <v>6</v>
      </c>
      <c r="I379">
        <v>15</v>
      </c>
      <c r="J379" t="s">
        <v>22</v>
      </c>
      <c r="K379" s="4">
        <f>Table1[[#This Row],[Sales]]*Table1[[#This Row],[Quantity]]</f>
        <v>226260</v>
      </c>
      <c r="L379" s="4">
        <f>Table1[[#This Row],[Revenue]]-(Table1[[#This Row],[Revenue]]*Table1[[#This Row],[Discount]]/100)</f>
        <v>192321</v>
      </c>
    </row>
    <row r="380" spans="1:12" x14ac:dyDescent="0.55000000000000004">
      <c r="A380" t="s">
        <v>409</v>
      </c>
      <c r="B380" s="2">
        <v>45060</v>
      </c>
      <c r="C380" t="s">
        <v>24</v>
      </c>
      <c r="D380" t="s">
        <v>37</v>
      </c>
      <c r="E380" t="s">
        <v>11</v>
      </c>
      <c r="F380" t="s">
        <v>12</v>
      </c>
      <c r="G380">
        <v>33491</v>
      </c>
      <c r="H380">
        <v>3</v>
      </c>
      <c r="I380">
        <v>18</v>
      </c>
      <c r="J380" t="s">
        <v>25</v>
      </c>
      <c r="K380" s="4">
        <f>Table1[[#This Row],[Sales]]*Table1[[#This Row],[Quantity]]</f>
        <v>100473</v>
      </c>
      <c r="L380" s="4">
        <f>Table1[[#This Row],[Revenue]]-(Table1[[#This Row],[Revenue]]*Table1[[#This Row],[Discount]]/100)</f>
        <v>82387.86</v>
      </c>
    </row>
    <row r="381" spans="1:12" x14ac:dyDescent="0.55000000000000004">
      <c r="A381" t="s">
        <v>410</v>
      </c>
      <c r="B381" s="2">
        <v>45220</v>
      </c>
      <c r="C381" t="s">
        <v>31</v>
      </c>
      <c r="D381" t="s">
        <v>37</v>
      </c>
      <c r="E381" t="s">
        <v>11</v>
      </c>
      <c r="F381" t="s">
        <v>48</v>
      </c>
      <c r="G381">
        <v>3202</v>
      </c>
      <c r="H381">
        <v>6</v>
      </c>
      <c r="I381">
        <v>0</v>
      </c>
      <c r="J381" t="s">
        <v>13</v>
      </c>
      <c r="K381" s="4">
        <f>Table1[[#This Row],[Sales]]*Table1[[#This Row],[Quantity]]</f>
        <v>19212</v>
      </c>
      <c r="L381" s="4">
        <f>Table1[[#This Row],[Revenue]]-(Table1[[#This Row],[Revenue]]*Table1[[#This Row],[Discount]]/100)</f>
        <v>19212</v>
      </c>
    </row>
    <row r="382" spans="1:12" x14ac:dyDescent="0.55000000000000004">
      <c r="A382" t="s">
        <v>411</v>
      </c>
      <c r="B382" s="2">
        <v>45144</v>
      </c>
      <c r="C382" t="s">
        <v>19</v>
      </c>
      <c r="D382" t="s">
        <v>46</v>
      </c>
      <c r="E382" t="s">
        <v>11</v>
      </c>
      <c r="F382" t="s">
        <v>38</v>
      </c>
      <c r="G382">
        <v>37333</v>
      </c>
      <c r="H382">
        <v>6</v>
      </c>
      <c r="I382">
        <v>8</v>
      </c>
      <c r="J382" t="s">
        <v>13</v>
      </c>
      <c r="K382" s="4">
        <f>Table1[[#This Row],[Sales]]*Table1[[#This Row],[Quantity]]</f>
        <v>223998</v>
      </c>
      <c r="L382" s="4">
        <f>Table1[[#This Row],[Revenue]]-(Table1[[#This Row],[Revenue]]*Table1[[#This Row],[Discount]]/100)</f>
        <v>206078.16</v>
      </c>
    </row>
    <row r="383" spans="1:12" x14ac:dyDescent="0.55000000000000004">
      <c r="A383" t="s">
        <v>412</v>
      </c>
      <c r="B383" s="2">
        <v>44961</v>
      </c>
      <c r="C383" t="s">
        <v>15</v>
      </c>
      <c r="D383" t="s">
        <v>16</v>
      </c>
      <c r="E383" t="s">
        <v>11</v>
      </c>
      <c r="F383" t="s">
        <v>44</v>
      </c>
      <c r="G383">
        <v>18784</v>
      </c>
      <c r="H383">
        <v>10</v>
      </c>
      <c r="I383">
        <v>18</v>
      </c>
      <c r="J383" t="s">
        <v>25</v>
      </c>
      <c r="K383" s="4">
        <f>Table1[[#This Row],[Sales]]*Table1[[#This Row],[Quantity]]</f>
        <v>187840</v>
      </c>
      <c r="L383" s="4">
        <f>Table1[[#This Row],[Revenue]]-(Table1[[#This Row],[Revenue]]*Table1[[#This Row],[Discount]]/100)</f>
        <v>154028.79999999999</v>
      </c>
    </row>
    <row r="384" spans="1:12" x14ac:dyDescent="0.55000000000000004">
      <c r="A384" t="s">
        <v>413</v>
      </c>
      <c r="B384" s="2">
        <v>45036</v>
      </c>
      <c r="C384" t="s">
        <v>19</v>
      </c>
      <c r="D384" t="s">
        <v>27</v>
      </c>
      <c r="E384" t="s">
        <v>17</v>
      </c>
      <c r="F384" t="s">
        <v>38</v>
      </c>
      <c r="G384">
        <v>35504</v>
      </c>
      <c r="H384">
        <v>2</v>
      </c>
      <c r="I384">
        <v>26</v>
      </c>
      <c r="J384" t="s">
        <v>13</v>
      </c>
      <c r="K384" s="4">
        <f>Table1[[#This Row],[Sales]]*Table1[[#This Row],[Quantity]]</f>
        <v>71008</v>
      </c>
      <c r="L384" s="4">
        <f>Table1[[#This Row],[Revenue]]-(Table1[[#This Row],[Revenue]]*Table1[[#This Row],[Discount]]/100)</f>
        <v>52545.919999999998</v>
      </c>
    </row>
    <row r="385" spans="1:12" x14ac:dyDescent="0.55000000000000004">
      <c r="A385" t="s">
        <v>414</v>
      </c>
      <c r="B385" s="2">
        <v>45254</v>
      </c>
      <c r="C385" t="s">
        <v>19</v>
      </c>
      <c r="D385" t="s">
        <v>37</v>
      </c>
      <c r="E385" t="s">
        <v>17</v>
      </c>
      <c r="F385" t="s">
        <v>12</v>
      </c>
      <c r="G385">
        <v>2293</v>
      </c>
      <c r="H385">
        <v>2</v>
      </c>
      <c r="I385">
        <v>29</v>
      </c>
      <c r="J385" t="s">
        <v>25</v>
      </c>
      <c r="K385" s="4">
        <f>Table1[[#This Row],[Sales]]*Table1[[#This Row],[Quantity]]</f>
        <v>4586</v>
      </c>
      <c r="L385" s="4">
        <f>Table1[[#This Row],[Revenue]]-(Table1[[#This Row],[Revenue]]*Table1[[#This Row],[Discount]]/100)</f>
        <v>3256.06</v>
      </c>
    </row>
    <row r="386" spans="1:12" x14ac:dyDescent="0.55000000000000004">
      <c r="A386" t="s">
        <v>415</v>
      </c>
      <c r="B386" s="2">
        <v>45086</v>
      </c>
      <c r="C386" t="s">
        <v>19</v>
      </c>
      <c r="D386" t="s">
        <v>46</v>
      </c>
      <c r="E386" t="s">
        <v>11</v>
      </c>
      <c r="F386" t="s">
        <v>48</v>
      </c>
      <c r="G386">
        <v>22002</v>
      </c>
      <c r="H386">
        <v>2</v>
      </c>
      <c r="I386">
        <v>5</v>
      </c>
      <c r="J386" t="s">
        <v>13</v>
      </c>
      <c r="K386" s="4">
        <f>Table1[[#This Row],[Sales]]*Table1[[#This Row],[Quantity]]</f>
        <v>44004</v>
      </c>
      <c r="L386" s="4">
        <f>Table1[[#This Row],[Revenue]]-(Table1[[#This Row],[Revenue]]*Table1[[#This Row],[Discount]]/100)</f>
        <v>41803.800000000003</v>
      </c>
    </row>
    <row r="387" spans="1:12" x14ac:dyDescent="0.55000000000000004">
      <c r="A387" t="s">
        <v>416</v>
      </c>
      <c r="B387" s="2">
        <v>44931</v>
      </c>
      <c r="C387" t="s">
        <v>19</v>
      </c>
      <c r="D387" t="s">
        <v>16</v>
      </c>
      <c r="E387" t="s">
        <v>11</v>
      </c>
      <c r="F387" t="s">
        <v>34</v>
      </c>
      <c r="G387">
        <v>24760</v>
      </c>
      <c r="H387">
        <v>2</v>
      </c>
      <c r="I387">
        <v>6</v>
      </c>
      <c r="J387" t="s">
        <v>25</v>
      </c>
      <c r="K387" s="4">
        <f>Table1[[#This Row],[Sales]]*Table1[[#This Row],[Quantity]]</f>
        <v>49520</v>
      </c>
      <c r="L387" s="4">
        <f>Table1[[#This Row],[Revenue]]-(Table1[[#This Row],[Revenue]]*Table1[[#This Row],[Discount]]/100)</f>
        <v>46548.800000000003</v>
      </c>
    </row>
    <row r="388" spans="1:12" x14ac:dyDescent="0.55000000000000004">
      <c r="A388" t="s">
        <v>417</v>
      </c>
      <c r="B388" s="2">
        <v>45031</v>
      </c>
      <c r="C388" t="s">
        <v>31</v>
      </c>
      <c r="D388" t="s">
        <v>20</v>
      </c>
      <c r="E388" t="s">
        <v>17</v>
      </c>
      <c r="F388" t="s">
        <v>12</v>
      </c>
      <c r="G388">
        <v>14237</v>
      </c>
      <c r="H388">
        <v>6</v>
      </c>
      <c r="I388">
        <v>18</v>
      </c>
      <c r="J388" t="s">
        <v>13</v>
      </c>
      <c r="K388" s="4">
        <f>Table1[[#This Row],[Sales]]*Table1[[#This Row],[Quantity]]</f>
        <v>85422</v>
      </c>
      <c r="L388" s="4">
        <f>Table1[[#This Row],[Revenue]]-(Table1[[#This Row],[Revenue]]*Table1[[#This Row],[Discount]]/100)</f>
        <v>70046.040000000008</v>
      </c>
    </row>
    <row r="389" spans="1:12" x14ac:dyDescent="0.55000000000000004">
      <c r="A389" t="s">
        <v>418</v>
      </c>
      <c r="B389" s="2">
        <v>45229</v>
      </c>
      <c r="C389" t="s">
        <v>31</v>
      </c>
      <c r="D389" t="s">
        <v>37</v>
      </c>
      <c r="E389" t="s">
        <v>17</v>
      </c>
      <c r="F389" t="s">
        <v>38</v>
      </c>
      <c r="G389">
        <v>41435</v>
      </c>
      <c r="H389">
        <v>10</v>
      </c>
      <c r="I389">
        <v>9</v>
      </c>
      <c r="J389" t="s">
        <v>22</v>
      </c>
      <c r="K389" s="4">
        <f>Table1[[#This Row],[Sales]]*Table1[[#This Row],[Quantity]]</f>
        <v>414350</v>
      </c>
      <c r="L389" s="4">
        <f>Table1[[#This Row],[Revenue]]-(Table1[[#This Row],[Revenue]]*Table1[[#This Row],[Discount]]/100)</f>
        <v>377058.5</v>
      </c>
    </row>
    <row r="390" spans="1:12" x14ac:dyDescent="0.55000000000000004">
      <c r="A390" t="s">
        <v>419</v>
      </c>
      <c r="B390" s="2">
        <v>45025</v>
      </c>
      <c r="C390" t="s">
        <v>15</v>
      </c>
      <c r="D390" t="s">
        <v>27</v>
      </c>
      <c r="E390" t="s">
        <v>17</v>
      </c>
      <c r="F390" t="s">
        <v>12</v>
      </c>
      <c r="G390">
        <v>9885</v>
      </c>
      <c r="H390">
        <v>4</v>
      </c>
      <c r="I390">
        <v>23</v>
      </c>
      <c r="J390" t="s">
        <v>13</v>
      </c>
      <c r="K390" s="4">
        <f>Table1[[#This Row],[Sales]]*Table1[[#This Row],[Quantity]]</f>
        <v>39540</v>
      </c>
      <c r="L390" s="4">
        <f>Table1[[#This Row],[Revenue]]-(Table1[[#This Row],[Revenue]]*Table1[[#This Row],[Discount]]/100)</f>
        <v>30445.8</v>
      </c>
    </row>
    <row r="391" spans="1:12" x14ac:dyDescent="0.55000000000000004">
      <c r="A391" t="s">
        <v>420</v>
      </c>
      <c r="B391" s="2">
        <v>45018</v>
      </c>
      <c r="C391" t="s">
        <v>31</v>
      </c>
      <c r="D391" t="s">
        <v>20</v>
      </c>
      <c r="E391" t="s">
        <v>11</v>
      </c>
      <c r="F391" t="s">
        <v>48</v>
      </c>
      <c r="G391">
        <v>27824</v>
      </c>
      <c r="H391">
        <v>5</v>
      </c>
      <c r="I391">
        <v>24</v>
      </c>
      <c r="J391" t="s">
        <v>25</v>
      </c>
      <c r="K391" s="4">
        <f>Table1[[#This Row],[Sales]]*Table1[[#This Row],[Quantity]]</f>
        <v>139120</v>
      </c>
      <c r="L391" s="4">
        <f>Table1[[#This Row],[Revenue]]-(Table1[[#This Row],[Revenue]]*Table1[[#This Row],[Discount]]/100)</f>
        <v>105731.2</v>
      </c>
    </row>
    <row r="392" spans="1:12" x14ac:dyDescent="0.55000000000000004">
      <c r="A392" t="s">
        <v>421</v>
      </c>
      <c r="B392" s="2">
        <v>45216</v>
      </c>
      <c r="C392" t="s">
        <v>24</v>
      </c>
      <c r="D392" t="s">
        <v>20</v>
      </c>
      <c r="E392" t="s">
        <v>11</v>
      </c>
      <c r="F392" t="s">
        <v>29</v>
      </c>
      <c r="G392">
        <v>36926</v>
      </c>
      <c r="H392">
        <v>7</v>
      </c>
      <c r="I392">
        <v>8</v>
      </c>
      <c r="J392" t="s">
        <v>22</v>
      </c>
      <c r="K392" s="4">
        <f>Table1[[#This Row],[Sales]]*Table1[[#This Row],[Quantity]]</f>
        <v>258482</v>
      </c>
      <c r="L392" s="4">
        <f>Table1[[#This Row],[Revenue]]-(Table1[[#This Row],[Revenue]]*Table1[[#This Row],[Discount]]/100)</f>
        <v>237803.44</v>
      </c>
    </row>
    <row r="393" spans="1:12" x14ac:dyDescent="0.55000000000000004">
      <c r="A393" t="s">
        <v>422</v>
      </c>
      <c r="B393" s="2">
        <v>44938</v>
      </c>
      <c r="C393" t="s">
        <v>19</v>
      </c>
      <c r="D393" t="s">
        <v>46</v>
      </c>
      <c r="E393" t="s">
        <v>11</v>
      </c>
      <c r="F393" t="s">
        <v>48</v>
      </c>
      <c r="G393">
        <v>37712</v>
      </c>
      <c r="H393">
        <v>5</v>
      </c>
      <c r="I393">
        <v>14</v>
      </c>
      <c r="J393" t="s">
        <v>22</v>
      </c>
      <c r="K393" s="4">
        <f>Table1[[#This Row],[Sales]]*Table1[[#This Row],[Quantity]]</f>
        <v>188560</v>
      </c>
      <c r="L393" s="4">
        <f>Table1[[#This Row],[Revenue]]-(Table1[[#This Row],[Revenue]]*Table1[[#This Row],[Discount]]/100)</f>
        <v>162161.60000000001</v>
      </c>
    </row>
    <row r="394" spans="1:12" x14ac:dyDescent="0.55000000000000004">
      <c r="A394" t="s">
        <v>423</v>
      </c>
      <c r="B394" s="2">
        <v>45271</v>
      </c>
      <c r="C394" t="s">
        <v>15</v>
      </c>
      <c r="D394" t="s">
        <v>46</v>
      </c>
      <c r="E394" t="s">
        <v>11</v>
      </c>
      <c r="F394" t="s">
        <v>29</v>
      </c>
      <c r="G394">
        <v>14111</v>
      </c>
      <c r="H394">
        <v>5</v>
      </c>
      <c r="I394">
        <v>27</v>
      </c>
      <c r="J394" t="s">
        <v>13</v>
      </c>
      <c r="K394" s="4">
        <f>Table1[[#This Row],[Sales]]*Table1[[#This Row],[Quantity]]</f>
        <v>70555</v>
      </c>
      <c r="L394" s="4">
        <f>Table1[[#This Row],[Revenue]]-(Table1[[#This Row],[Revenue]]*Table1[[#This Row],[Discount]]/100)</f>
        <v>51505.15</v>
      </c>
    </row>
    <row r="395" spans="1:12" x14ac:dyDescent="0.55000000000000004">
      <c r="A395" t="s">
        <v>424</v>
      </c>
      <c r="B395" s="2">
        <v>45045</v>
      </c>
      <c r="C395" t="s">
        <v>19</v>
      </c>
      <c r="D395" t="s">
        <v>46</v>
      </c>
      <c r="E395" t="s">
        <v>17</v>
      </c>
      <c r="F395" t="s">
        <v>44</v>
      </c>
      <c r="G395">
        <v>38743</v>
      </c>
      <c r="H395">
        <v>8</v>
      </c>
      <c r="I395">
        <v>25</v>
      </c>
      <c r="J395" t="s">
        <v>25</v>
      </c>
      <c r="K395" s="4">
        <f>Table1[[#This Row],[Sales]]*Table1[[#This Row],[Quantity]]</f>
        <v>309944</v>
      </c>
      <c r="L395" s="4">
        <f>Table1[[#This Row],[Revenue]]-(Table1[[#This Row],[Revenue]]*Table1[[#This Row],[Discount]]/100)</f>
        <v>232458</v>
      </c>
    </row>
    <row r="396" spans="1:12" x14ac:dyDescent="0.55000000000000004">
      <c r="A396" t="s">
        <v>425</v>
      </c>
      <c r="B396" s="2">
        <v>45062</v>
      </c>
      <c r="C396" t="s">
        <v>31</v>
      </c>
      <c r="D396" t="s">
        <v>27</v>
      </c>
      <c r="E396" t="s">
        <v>17</v>
      </c>
      <c r="F396" t="s">
        <v>38</v>
      </c>
      <c r="G396">
        <v>28443</v>
      </c>
      <c r="H396">
        <v>2</v>
      </c>
      <c r="I396">
        <v>24</v>
      </c>
      <c r="J396" t="s">
        <v>22</v>
      </c>
      <c r="K396" s="4">
        <f>Table1[[#This Row],[Sales]]*Table1[[#This Row],[Quantity]]</f>
        <v>56886</v>
      </c>
      <c r="L396" s="4">
        <f>Table1[[#This Row],[Revenue]]-(Table1[[#This Row],[Revenue]]*Table1[[#This Row],[Discount]]/100)</f>
        <v>43233.36</v>
      </c>
    </row>
    <row r="397" spans="1:12" x14ac:dyDescent="0.55000000000000004">
      <c r="A397" t="s">
        <v>426</v>
      </c>
      <c r="B397" s="2">
        <v>45064</v>
      </c>
      <c r="C397" t="s">
        <v>19</v>
      </c>
      <c r="D397" t="s">
        <v>20</v>
      </c>
      <c r="E397" t="s">
        <v>11</v>
      </c>
      <c r="F397" t="s">
        <v>29</v>
      </c>
      <c r="G397">
        <v>45436</v>
      </c>
      <c r="H397">
        <v>6</v>
      </c>
      <c r="I397">
        <v>18</v>
      </c>
      <c r="J397" t="s">
        <v>25</v>
      </c>
      <c r="K397" s="4">
        <f>Table1[[#This Row],[Sales]]*Table1[[#This Row],[Quantity]]</f>
        <v>272616</v>
      </c>
      <c r="L397" s="4">
        <f>Table1[[#This Row],[Revenue]]-(Table1[[#This Row],[Revenue]]*Table1[[#This Row],[Discount]]/100)</f>
        <v>223545.12</v>
      </c>
    </row>
    <row r="398" spans="1:12" x14ac:dyDescent="0.55000000000000004">
      <c r="A398" t="s">
        <v>427</v>
      </c>
      <c r="B398" s="2">
        <v>44978</v>
      </c>
      <c r="C398" t="s">
        <v>15</v>
      </c>
      <c r="D398" t="s">
        <v>20</v>
      </c>
      <c r="E398" t="s">
        <v>11</v>
      </c>
      <c r="F398" t="s">
        <v>48</v>
      </c>
      <c r="G398">
        <v>44315</v>
      </c>
      <c r="H398">
        <v>4</v>
      </c>
      <c r="I398">
        <v>18</v>
      </c>
      <c r="J398" t="s">
        <v>13</v>
      </c>
      <c r="K398" s="4">
        <f>Table1[[#This Row],[Sales]]*Table1[[#This Row],[Quantity]]</f>
        <v>177260</v>
      </c>
      <c r="L398" s="4">
        <f>Table1[[#This Row],[Revenue]]-(Table1[[#This Row],[Revenue]]*Table1[[#This Row],[Discount]]/100)</f>
        <v>145353.20000000001</v>
      </c>
    </row>
    <row r="399" spans="1:12" x14ac:dyDescent="0.55000000000000004">
      <c r="A399" t="s">
        <v>428</v>
      </c>
      <c r="B399" s="2">
        <v>45286</v>
      </c>
      <c r="C399" t="s">
        <v>31</v>
      </c>
      <c r="D399" t="s">
        <v>20</v>
      </c>
      <c r="E399" t="s">
        <v>17</v>
      </c>
      <c r="F399" t="s">
        <v>29</v>
      </c>
      <c r="G399">
        <v>12425</v>
      </c>
      <c r="H399">
        <v>8</v>
      </c>
      <c r="I399">
        <v>16</v>
      </c>
      <c r="J399" t="s">
        <v>25</v>
      </c>
      <c r="K399" s="4">
        <f>Table1[[#This Row],[Sales]]*Table1[[#This Row],[Quantity]]</f>
        <v>99400</v>
      </c>
      <c r="L399" s="4">
        <f>Table1[[#This Row],[Revenue]]-(Table1[[#This Row],[Revenue]]*Table1[[#This Row],[Discount]]/100)</f>
        <v>83496</v>
      </c>
    </row>
    <row r="400" spans="1:12" x14ac:dyDescent="0.55000000000000004">
      <c r="A400" t="s">
        <v>429</v>
      </c>
      <c r="B400" s="2">
        <v>45020</v>
      </c>
      <c r="C400" t="s">
        <v>19</v>
      </c>
      <c r="D400" t="s">
        <v>46</v>
      </c>
      <c r="E400" t="s">
        <v>17</v>
      </c>
      <c r="F400" t="s">
        <v>12</v>
      </c>
      <c r="G400">
        <v>33111</v>
      </c>
      <c r="H400">
        <v>6</v>
      </c>
      <c r="I400">
        <v>9</v>
      </c>
      <c r="J400" t="s">
        <v>25</v>
      </c>
      <c r="K400" s="4">
        <f>Table1[[#This Row],[Sales]]*Table1[[#This Row],[Quantity]]</f>
        <v>198666</v>
      </c>
      <c r="L400" s="4">
        <f>Table1[[#This Row],[Revenue]]-(Table1[[#This Row],[Revenue]]*Table1[[#This Row],[Discount]]/100)</f>
        <v>180786.06</v>
      </c>
    </row>
    <row r="401" spans="1:12" x14ac:dyDescent="0.55000000000000004">
      <c r="A401" t="s">
        <v>430</v>
      </c>
      <c r="B401" s="2">
        <v>44959</v>
      </c>
      <c r="C401" t="s">
        <v>24</v>
      </c>
      <c r="D401" t="s">
        <v>27</v>
      </c>
      <c r="E401" t="s">
        <v>11</v>
      </c>
      <c r="F401" t="s">
        <v>48</v>
      </c>
      <c r="G401">
        <v>24427</v>
      </c>
      <c r="H401">
        <v>5</v>
      </c>
      <c r="I401">
        <v>12</v>
      </c>
      <c r="J401" t="s">
        <v>13</v>
      </c>
      <c r="K401" s="4">
        <f>Table1[[#This Row],[Sales]]*Table1[[#This Row],[Quantity]]</f>
        <v>122135</v>
      </c>
      <c r="L401" s="4">
        <f>Table1[[#This Row],[Revenue]]-(Table1[[#This Row],[Revenue]]*Table1[[#This Row],[Discount]]/100)</f>
        <v>107478.8</v>
      </c>
    </row>
    <row r="402" spans="1:12" x14ac:dyDescent="0.55000000000000004">
      <c r="A402" t="s">
        <v>431</v>
      </c>
      <c r="B402" s="2">
        <v>44983</v>
      </c>
      <c r="C402" t="s">
        <v>15</v>
      </c>
      <c r="D402" t="s">
        <v>16</v>
      </c>
      <c r="E402" t="s">
        <v>17</v>
      </c>
      <c r="F402" t="s">
        <v>34</v>
      </c>
      <c r="G402">
        <v>15794</v>
      </c>
      <c r="H402">
        <v>8</v>
      </c>
      <c r="I402">
        <v>2</v>
      </c>
      <c r="J402" t="s">
        <v>25</v>
      </c>
      <c r="K402" s="4">
        <f>Table1[[#This Row],[Sales]]*Table1[[#This Row],[Quantity]]</f>
        <v>126352</v>
      </c>
      <c r="L402" s="4">
        <f>Table1[[#This Row],[Revenue]]-(Table1[[#This Row],[Revenue]]*Table1[[#This Row],[Discount]]/100)</f>
        <v>123824.96000000001</v>
      </c>
    </row>
    <row r="403" spans="1:12" x14ac:dyDescent="0.55000000000000004">
      <c r="A403" t="s">
        <v>432</v>
      </c>
      <c r="B403" s="2">
        <v>45242</v>
      </c>
      <c r="C403" t="s">
        <v>24</v>
      </c>
      <c r="D403" t="s">
        <v>37</v>
      </c>
      <c r="E403" t="s">
        <v>11</v>
      </c>
      <c r="F403" t="s">
        <v>44</v>
      </c>
      <c r="G403">
        <v>37182</v>
      </c>
      <c r="H403">
        <v>7</v>
      </c>
      <c r="I403">
        <v>24</v>
      </c>
      <c r="J403" t="s">
        <v>22</v>
      </c>
      <c r="K403" s="4">
        <f>Table1[[#This Row],[Sales]]*Table1[[#This Row],[Quantity]]</f>
        <v>260274</v>
      </c>
      <c r="L403" s="4">
        <f>Table1[[#This Row],[Revenue]]-(Table1[[#This Row],[Revenue]]*Table1[[#This Row],[Discount]]/100)</f>
        <v>197808.24</v>
      </c>
    </row>
    <row r="404" spans="1:12" x14ac:dyDescent="0.55000000000000004">
      <c r="A404" t="s">
        <v>433</v>
      </c>
      <c r="B404" s="2">
        <v>45136</v>
      </c>
      <c r="C404" t="s">
        <v>24</v>
      </c>
      <c r="D404" t="s">
        <v>27</v>
      </c>
      <c r="E404" t="s">
        <v>11</v>
      </c>
      <c r="F404" t="s">
        <v>34</v>
      </c>
      <c r="G404">
        <v>20311</v>
      </c>
      <c r="H404">
        <v>8</v>
      </c>
      <c r="I404">
        <v>2</v>
      </c>
      <c r="J404" t="s">
        <v>25</v>
      </c>
      <c r="K404" s="4">
        <f>Table1[[#This Row],[Sales]]*Table1[[#This Row],[Quantity]]</f>
        <v>162488</v>
      </c>
      <c r="L404" s="4">
        <f>Table1[[#This Row],[Revenue]]-(Table1[[#This Row],[Revenue]]*Table1[[#This Row],[Discount]]/100)</f>
        <v>159238.24</v>
      </c>
    </row>
    <row r="405" spans="1:12" x14ac:dyDescent="0.55000000000000004">
      <c r="A405" t="s">
        <v>434</v>
      </c>
      <c r="B405" s="2">
        <v>45140</v>
      </c>
      <c r="C405" t="s">
        <v>24</v>
      </c>
      <c r="D405" t="s">
        <v>37</v>
      </c>
      <c r="E405" t="s">
        <v>17</v>
      </c>
      <c r="F405" t="s">
        <v>34</v>
      </c>
      <c r="G405">
        <v>45026</v>
      </c>
      <c r="H405">
        <v>8</v>
      </c>
      <c r="I405">
        <v>22</v>
      </c>
      <c r="J405" t="s">
        <v>25</v>
      </c>
      <c r="K405" s="4">
        <f>Table1[[#This Row],[Sales]]*Table1[[#This Row],[Quantity]]</f>
        <v>360208</v>
      </c>
      <c r="L405" s="4">
        <f>Table1[[#This Row],[Revenue]]-(Table1[[#This Row],[Revenue]]*Table1[[#This Row],[Discount]]/100)</f>
        <v>280962.24</v>
      </c>
    </row>
    <row r="406" spans="1:12" x14ac:dyDescent="0.55000000000000004">
      <c r="A406" t="s">
        <v>435</v>
      </c>
      <c r="B406" s="2">
        <v>45203</v>
      </c>
      <c r="C406" t="s">
        <v>31</v>
      </c>
      <c r="D406" t="s">
        <v>37</v>
      </c>
      <c r="E406" t="s">
        <v>17</v>
      </c>
      <c r="F406" t="s">
        <v>12</v>
      </c>
      <c r="G406">
        <v>41140</v>
      </c>
      <c r="H406">
        <v>2</v>
      </c>
      <c r="I406">
        <v>1</v>
      </c>
      <c r="J406" t="s">
        <v>13</v>
      </c>
      <c r="K406" s="4">
        <f>Table1[[#This Row],[Sales]]*Table1[[#This Row],[Quantity]]</f>
        <v>82280</v>
      </c>
      <c r="L406" s="4">
        <f>Table1[[#This Row],[Revenue]]-(Table1[[#This Row],[Revenue]]*Table1[[#This Row],[Discount]]/100)</f>
        <v>81457.2</v>
      </c>
    </row>
    <row r="407" spans="1:12" x14ac:dyDescent="0.55000000000000004">
      <c r="A407" t="s">
        <v>436</v>
      </c>
      <c r="B407" s="2">
        <v>45236</v>
      </c>
      <c r="C407" t="s">
        <v>31</v>
      </c>
      <c r="D407" t="s">
        <v>27</v>
      </c>
      <c r="E407" t="s">
        <v>17</v>
      </c>
      <c r="F407" t="s">
        <v>34</v>
      </c>
      <c r="G407">
        <v>30059</v>
      </c>
      <c r="H407">
        <v>5</v>
      </c>
      <c r="I407">
        <v>8</v>
      </c>
      <c r="J407" t="s">
        <v>25</v>
      </c>
      <c r="K407" s="4">
        <f>Table1[[#This Row],[Sales]]*Table1[[#This Row],[Quantity]]</f>
        <v>150295</v>
      </c>
      <c r="L407" s="4">
        <f>Table1[[#This Row],[Revenue]]-(Table1[[#This Row],[Revenue]]*Table1[[#This Row],[Discount]]/100)</f>
        <v>138271.4</v>
      </c>
    </row>
    <row r="408" spans="1:12" x14ac:dyDescent="0.55000000000000004">
      <c r="A408" t="s">
        <v>437</v>
      </c>
      <c r="B408" s="2">
        <v>45086</v>
      </c>
      <c r="C408" t="s">
        <v>31</v>
      </c>
      <c r="D408" t="s">
        <v>46</v>
      </c>
      <c r="E408" t="s">
        <v>11</v>
      </c>
      <c r="F408" t="s">
        <v>12</v>
      </c>
      <c r="G408">
        <v>45895</v>
      </c>
      <c r="H408">
        <v>10</v>
      </c>
      <c r="I408">
        <v>21</v>
      </c>
      <c r="J408" t="s">
        <v>25</v>
      </c>
      <c r="K408" s="4">
        <f>Table1[[#This Row],[Sales]]*Table1[[#This Row],[Quantity]]</f>
        <v>458950</v>
      </c>
      <c r="L408" s="4">
        <f>Table1[[#This Row],[Revenue]]-(Table1[[#This Row],[Revenue]]*Table1[[#This Row],[Discount]]/100)</f>
        <v>362570.5</v>
      </c>
    </row>
    <row r="409" spans="1:12" x14ac:dyDescent="0.55000000000000004">
      <c r="A409" t="s">
        <v>438</v>
      </c>
      <c r="B409" s="2">
        <v>45144</v>
      </c>
      <c r="C409" t="s">
        <v>15</v>
      </c>
      <c r="D409" t="s">
        <v>16</v>
      </c>
      <c r="E409" t="s">
        <v>11</v>
      </c>
      <c r="F409" t="s">
        <v>44</v>
      </c>
      <c r="G409">
        <v>49623</v>
      </c>
      <c r="H409">
        <v>3</v>
      </c>
      <c r="I409">
        <v>25</v>
      </c>
      <c r="J409" t="s">
        <v>13</v>
      </c>
      <c r="K409" s="4">
        <f>Table1[[#This Row],[Sales]]*Table1[[#This Row],[Quantity]]</f>
        <v>148869</v>
      </c>
      <c r="L409" s="4">
        <f>Table1[[#This Row],[Revenue]]-(Table1[[#This Row],[Revenue]]*Table1[[#This Row],[Discount]]/100)</f>
        <v>111651.75</v>
      </c>
    </row>
    <row r="410" spans="1:12" x14ac:dyDescent="0.55000000000000004">
      <c r="A410" t="s">
        <v>439</v>
      </c>
      <c r="B410" s="2">
        <v>44975</v>
      </c>
      <c r="C410" t="s">
        <v>15</v>
      </c>
      <c r="D410" t="s">
        <v>16</v>
      </c>
      <c r="E410" t="s">
        <v>11</v>
      </c>
      <c r="F410" t="s">
        <v>29</v>
      </c>
      <c r="G410">
        <v>40266</v>
      </c>
      <c r="H410">
        <v>6</v>
      </c>
      <c r="I410">
        <v>1</v>
      </c>
      <c r="J410" t="s">
        <v>22</v>
      </c>
      <c r="K410" s="4">
        <f>Table1[[#This Row],[Sales]]*Table1[[#This Row],[Quantity]]</f>
        <v>241596</v>
      </c>
      <c r="L410" s="4">
        <f>Table1[[#This Row],[Revenue]]-(Table1[[#This Row],[Revenue]]*Table1[[#This Row],[Discount]]/100)</f>
        <v>239180.04</v>
      </c>
    </row>
    <row r="411" spans="1:12" x14ac:dyDescent="0.55000000000000004">
      <c r="A411" t="s">
        <v>440</v>
      </c>
      <c r="B411" s="2">
        <v>44982</v>
      </c>
      <c r="C411" t="s">
        <v>31</v>
      </c>
      <c r="D411" t="s">
        <v>27</v>
      </c>
      <c r="E411" t="s">
        <v>11</v>
      </c>
      <c r="F411" t="s">
        <v>48</v>
      </c>
      <c r="G411">
        <v>32514</v>
      </c>
      <c r="H411">
        <v>2</v>
      </c>
      <c r="I411">
        <v>16</v>
      </c>
      <c r="J411" t="s">
        <v>22</v>
      </c>
      <c r="K411" s="4">
        <f>Table1[[#This Row],[Sales]]*Table1[[#This Row],[Quantity]]</f>
        <v>65028</v>
      </c>
      <c r="L411" s="4">
        <f>Table1[[#This Row],[Revenue]]-(Table1[[#This Row],[Revenue]]*Table1[[#This Row],[Discount]]/100)</f>
        <v>54623.520000000004</v>
      </c>
    </row>
    <row r="412" spans="1:12" x14ac:dyDescent="0.55000000000000004">
      <c r="A412" t="s">
        <v>441</v>
      </c>
      <c r="B412" s="2">
        <v>45104</v>
      </c>
      <c r="C412" t="s">
        <v>31</v>
      </c>
      <c r="D412" t="s">
        <v>20</v>
      </c>
      <c r="E412" t="s">
        <v>17</v>
      </c>
      <c r="F412" t="s">
        <v>12</v>
      </c>
      <c r="G412">
        <v>6024</v>
      </c>
      <c r="H412">
        <v>6</v>
      </c>
      <c r="I412">
        <v>30</v>
      </c>
      <c r="J412" t="s">
        <v>22</v>
      </c>
      <c r="K412" s="4">
        <f>Table1[[#This Row],[Sales]]*Table1[[#This Row],[Quantity]]</f>
        <v>36144</v>
      </c>
      <c r="L412" s="4">
        <f>Table1[[#This Row],[Revenue]]-(Table1[[#This Row],[Revenue]]*Table1[[#This Row],[Discount]]/100)</f>
        <v>25300.799999999999</v>
      </c>
    </row>
    <row r="413" spans="1:12" x14ac:dyDescent="0.55000000000000004">
      <c r="A413" t="s">
        <v>442</v>
      </c>
      <c r="B413" s="2">
        <v>45104</v>
      </c>
      <c r="C413" t="s">
        <v>19</v>
      </c>
      <c r="D413" t="s">
        <v>37</v>
      </c>
      <c r="E413" t="s">
        <v>11</v>
      </c>
      <c r="F413" t="s">
        <v>34</v>
      </c>
      <c r="G413">
        <v>15555</v>
      </c>
      <c r="H413">
        <v>10</v>
      </c>
      <c r="I413">
        <v>12</v>
      </c>
      <c r="J413" t="s">
        <v>25</v>
      </c>
      <c r="K413" s="4">
        <f>Table1[[#This Row],[Sales]]*Table1[[#This Row],[Quantity]]</f>
        <v>155550</v>
      </c>
      <c r="L413" s="4">
        <f>Table1[[#This Row],[Revenue]]-(Table1[[#This Row],[Revenue]]*Table1[[#This Row],[Discount]]/100)</f>
        <v>136884</v>
      </c>
    </row>
    <row r="414" spans="1:12" x14ac:dyDescent="0.55000000000000004">
      <c r="A414" t="s">
        <v>443</v>
      </c>
      <c r="B414" s="2">
        <v>45030</v>
      </c>
      <c r="C414" t="s">
        <v>31</v>
      </c>
      <c r="D414" t="s">
        <v>37</v>
      </c>
      <c r="E414" t="s">
        <v>17</v>
      </c>
      <c r="F414" t="s">
        <v>29</v>
      </c>
      <c r="G414">
        <v>19399</v>
      </c>
      <c r="H414">
        <v>1</v>
      </c>
      <c r="I414">
        <v>22</v>
      </c>
      <c r="J414" t="s">
        <v>13</v>
      </c>
      <c r="K414" s="4">
        <f>Table1[[#This Row],[Sales]]*Table1[[#This Row],[Quantity]]</f>
        <v>19399</v>
      </c>
      <c r="L414" s="4">
        <f>Table1[[#This Row],[Revenue]]-(Table1[[#This Row],[Revenue]]*Table1[[#This Row],[Discount]]/100)</f>
        <v>15131.220000000001</v>
      </c>
    </row>
    <row r="415" spans="1:12" x14ac:dyDescent="0.55000000000000004">
      <c r="A415" t="s">
        <v>444</v>
      </c>
      <c r="B415" s="2">
        <v>45037</v>
      </c>
      <c r="C415" t="s">
        <v>19</v>
      </c>
      <c r="D415" t="s">
        <v>27</v>
      </c>
      <c r="E415" t="s">
        <v>11</v>
      </c>
      <c r="F415" t="s">
        <v>38</v>
      </c>
      <c r="G415">
        <v>42383</v>
      </c>
      <c r="H415">
        <v>7</v>
      </c>
      <c r="I415">
        <v>16</v>
      </c>
      <c r="J415" t="s">
        <v>13</v>
      </c>
      <c r="K415" s="4">
        <f>Table1[[#This Row],[Sales]]*Table1[[#This Row],[Quantity]]</f>
        <v>296681</v>
      </c>
      <c r="L415" s="4">
        <f>Table1[[#This Row],[Revenue]]-(Table1[[#This Row],[Revenue]]*Table1[[#This Row],[Discount]]/100)</f>
        <v>249212.04</v>
      </c>
    </row>
    <row r="416" spans="1:12" x14ac:dyDescent="0.55000000000000004">
      <c r="A416" t="s">
        <v>445</v>
      </c>
      <c r="B416" s="2">
        <v>45257</v>
      </c>
      <c r="C416" t="s">
        <v>19</v>
      </c>
      <c r="D416" t="s">
        <v>46</v>
      </c>
      <c r="E416" t="s">
        <v>17</v>
      </c>
      <c r="F416" t="s">
        <v>29</v>
      </c>
      <c r="G416">
        <v>12108</v>
      </c>
      <c r="H416">
        <v>2</v>
      </c>
      <c r="I416">
        <v>21</v>
      </c>
      <c r="J416" t="s">
        <v>22</v>
      </c>
      <c r="K416" s="4">
        <f>Table1[[#This Row],[Sales]]*Table1[[#This Row],[Quantity]]</f>
        <v>24216</v>
      </c>
      <c r="L416" s="4">
        <f>Table1[[#This Row],[Revenue]]-(Table1[[#This Row],[Revenue]]*Table1[[#This Row],[Discount]]/100)</f>
        <v>19130.64</v>
      </c>
    </row>
    <row r="417" spans="1:12" x14ac:dyDescent="0.55000000000000004">
      <c r="A417" t="s">
        <v>446</v>
      </c>
      <c r="B417" s="2">
        <v>45042</v>
      </c>
      <c r="C417" t="s">
        <v>15</v>
      </c>
      <c r="D417" t="s">
        <v>37</v>
      </c>
      <c r="E417" t="s">
        <v>17</v>
      </c>
      <c r="F417" t="s">
        <v>44</v>
      </c>
      <c r="G417">
        <v>40152</v>
      </c>
      <c r="H417">
        <v>10</v>
      </c>
      <c r="I417">
        <v>22</v>
      </c>
      <c r="J417" t="s">
        <v>25</v>
      </c>
      <c r="K417" s="4">
        <f>Table1[[#This Row],[Sales]]*Table1[[#This Row],[Quantity]]</f>
        <v>401520</v>
      </c>
      <c r="L417" s="4">
        <f>Table1[[#This Row],[Revenue]]-(Table1[[#This Row],[Revenue]]*Table1[[#This Row],[Discount]]/100)</f>
        <v>313185.59999999998</v>
      </c>
    </row>
    <row r="418" spans="1:12" x14ac:dyDescent="0.55000000000000004">
      <c r="A418" t="s">
        <v>447</v>
      </c>
      <c r="B418" s="2">
        <v>45096</v>
      </c>
      <c r="C418" t="s">
        <v>24</v>
      </c>
      <c r="D418" t="s">
        <v>37</v>
      </c>
      <c r="E418" t="s">
        <v>11</v>
      </c>
      <c r="F418" t="s">
        <v>12</v>
      </c>
      <c r="G418">
        <v>17474</v>
      </c>
      <c r="H418">
        <v>1</v>
      </c>
      <c r="I418">
        <v>6</v>
      </c>
      <c r="J418" t="s">
        <v>22</v>
      </c>
      <c r="K418" s="4">
        <f>Table1[[#This Row],[Sales]]*Table1[[#This Row],[Quantity]]</f>
        <v>17474</v>
      </c>
      <c r="L418" s="4">
        <f>Table1[[#This Row],[Revenue]]-(Table1[[#This Row],[Revenue]]*Table1[[#This Row],[Discount]]/100)</f>
        <v>16425.560000000001</v>
      </c>
    </row>
    <row r="419" spans="1:12" x14ac:dyDescent="0.55000000000000004">
      <c r="A419" t="s">
        <v>448</v>
      </c>
      <c r="B419" s="2">
        <v>45063</v>
      </c>
      <c r="C419" t="s">
        <v>19</v>
      </c>
      <c r="D419" t="s">
        <v>46</v>
      </c>
      <c r="E419" t="s">
        <v>17</v>
      </c>
      <c r="F419" t="s">
        <v>34</v>
      </c>
      <c r="G419">
        <v>4386</v>
      </c>
      <c r="H419">
        <v>9</v>
      </c>
      <c r="I419">
        <v>26</v>
      </c>
      <c r="J419" t="s">
        <v>22</v>
      </c>
      <c r="K419" s="4">
        <f>Table1[[#This Row],[Sales]]*Table1[[#This Row],[Quantity]]</f>
        <v>39474</v>
      </c>
      <c r="L419" s="4">
        <f>Table1[[#This Row],[Revenue]]-(Table1[[#This Row],[Revenue]]*Table1[[#This Row],[Discount]]/100)</f>
        <v>29210.760000000002</v>
      </c>
    </row>
    <row r="420" spans="1:12" x14ac:dyDescent="0.55000000000000004">
      <c r="A420" t="s">
        <v>449</v>
      </c>
      <c r="B420" s="2">
        <v>45023</v>
      </c>
      <c r="C420" t="s">
        <v>15</v>
      </c>
      <c r="D420" t="s">
        <v>27</v>
      </c>
      <c r="E420" t="s">
        <v>11</v>
      </c>
      <c r="F420" t="s">
        <v>34</v>
      </c>
      <c r="G420">
        <v>10977</v>
      </c>
      <c r="H420">
        <v>9</v>
      </c>
      <c r="I420">
        <v>23</v>
      </c>
      <c r="J420" t="s">
        <v>13</v>
      </c>
      <c r="K420" s="4">
        <f>Table1[[#This Row],[Sales]]*Table1[[#This Row],[Quantity]]</f>
        <v>98793</v>
      </c>
      <c r="L420" s="4">
        <f>Table1[[#This Row],[Revenue]]-(Table1[[#This Row],[Revenue]]*Table1[[#This Row],[Discount]]/100)</f>
        <v>76070.61</v>
      </c>
    </row>
    <row r="421" spans="1:12" x14ac:dyDescent="0.55000000000000004">
      <c r="A421" t="s">
        <v>450</v>
      </c>
      <c r="B421" s="2">
        <v>45251</v>
      </c>
      <c r="C421" t="s">
        <v>24</v>
      </c>
      <c r="D421" t="s">
        <v>20</v>
      </c>
      <c r="E421" t="s">
        <v>11</v>
      </c>
      <c r="F421" t="s">
        <v>12</v>
      </c>
      <c r="G421">
        <v>20560</v>
      </c>
      <c r="H421">
        <v>3</v>
      </c>
      <c r="I421">
        <v>17</v>
      </c>
      <c r="J421" t="s">
        <v>22</v>
      </c>
      <c r="K421" s="4">
        <f>Table1[[#This Row],[Sales]]*Table1[[#This Row],[Quantity]]</f>
        <v>61680</v>
      </c>
      <c r="L421" s="4">
        <f>Table1[[#This Row],[Revenue]]-(Table1[[#This Row],[Revenue]]*Table1[[#This Row],[Discount]]/100)</f>
        <v>51194.400000000001</v>
      </c>
    </row>
    <row r="422" spans="1:12" x14ac:dyDescent="0.55000000000000004">
      <c r="A422" t="s">
        <v>451</v>
      </c>
      <c r="B422" s="2">
        <v>44948</v>
      </c>
      <c r="C422" t="s">
        <v>31</v>
      </c>
      <c r="D422" t="s">
        <v>16</v>
      </c>
      <c r="E422" t="s">
        <v>11</v>
      </c>
      <c r="F422" t="s">
        <v>21</v>
      </c>
      <c r="G422">
        <v>36417</v>
      </c>
      <c r="H422">
        <v>5</v>
      </c>
      <c r="I422">
        <v>14</v>
      </c>
      <c r="J422" t="s">
        <v>25</v>
      </c>
      <c r="K422" s="4">
        <f>Table1[[#This Row],[Sales]]*Table1[[#This Row],[Quantity]]</f>
        <v>182085</v>
      </c>
      <c r="L422" s="4">
        <f>Table1[[#This Row],[Revenue]]-(Table1[[#This Row],[Revenue]]*Table1[[#This Row],[Discount]]/100)</f>
        <v>156593.1</v>
      </c>
    </row>
    <row r="423" spans="1:12" x14ac:dyDescent="0.55000000000000004">
      <c r="A423" t="s">
        <v>452</v>
      </c>
      <c r="B423" s="2">
        <v>44996</v>
      </c>
      <c r="C423" t="s">
        <v>15</v>
      </c>
      <c r="D423" t="s">
        <v>27</v>
      </c>
      <c r="E423" t="s">
        <v>11</v>
      </c>
      <c r="F423" t="s">
        <v>12</v>
      </c>
      <c r="G423">
        <v>47134</v>
      </c>
      <c r="H423">
        <v>2</v>
      </c>
      <c r="I423">
        <v>14</v>
      </c>
      <c r="J423" t="s">
        <v>13</v>
      </c>
      <c r="K423" s="4">
        <f>Table1[[#This Row],[Sales]]*Table1[[#This Row],[Quantity]]</f>
        <v>94268</v>
      </c>
      <c r="L423" s="4">
        <f>Table1[[#This Row],[Revenue]]-(Table1[[#This Row],[Revenue]]*Table1[[#This Row],[Discount]]/100)</f>
        <v>81070.48</v>
      </c>
    </row>
    <row r="424" spans="1:12" x14ac:dyDescent="0.55000000000000004">
      <c r="A424" t="s">
        <v>453</v>
      </c>
      <c r="B424" s="2">
        <v>45082</v>
      </c>
      <c r="C424" t="s">
        <v>24</v>
      </c>
      <c r="D424" t="s">
        <v>20</v>
      </c>
      <c r="E424" t="s">
        <v>17</v>
      </c>
      <c r="F424" t="s">
        <v>29</v>
      </c>
      <c r="G424">
        <v>31430</v>
      </c>
      <c r="H424">
        <v>1</v>
      </c>
      <c r="I424">
        <v>0</v>
      </c>
      <c r="J424" t="s">
        <v>13</v>
      </c>
      <c r="K424" s="4">
        <f>Table1[[#This Row],[Sales]]*Table1[[#This Row],[Quantity]]</f>
        <v>31430</v>
      </c>
      <c r="L424" s="4">
        <f>Table1[[#This Row],[Revenue]]-(Table1[[#This Row],[Revenue]]*Table1[[#This Row],[Discount]]/100)</f>
        <v>31430</v>
      </c>
    </row>
    <row r="425" spans="1:12" x14ac:dyDescent="0.55000000000000004">
      <c r="A425" t="s">
        <v>454</v>
      </c>
      <c r="B425" s="2">
        <v>45103</v>
      </c>
      <c r="C425" t="s">
        <v>24</v>
      </c>
      <c r="D425" t="s">
        <v>37</v>
      </c>
      <c r="E425" t="s">
        <v>17</v>
      </c>
      <c r="F425" t="s">
        <v>38</v>
      </c>
      <c r="G425">
        <v>33771</v>
      </c>
      <c r="H425">
        <v>5</v>
      </c>
      <c r="I425">
        <v>30</v>
      </c>
      <c r="J425" t="s">
        <v>25</v>
      </c>
      <c r="K425" s="4">
        <f>Table1[[#This Row],[Sales]]*Table1[[#This Row],[Quantity]]</f>
        <v>168855</v>
      </c>
      <c r="L425" s="4">
        <f>Table1[[#This Row],[Revenue]]-(Table1[[#This Row],[Revenue]]*Table1[[#This Row],[Discount]]/100)</f>
        <v>118198.5</v>
      </c>
    </row>
    <row r="426" spans="1:12" x14ac:dyDescent="0.55000000000000004">
      <c r="A426" t="s">
        <v>455</v>
      </c>
      <c r="B426" s="2">
        <v>44929</v>
      </c>
      <c r="C426" t="s">
        <v>31</v>
      </c>
      <c r="D426" t="s">
        <v>16</v>
      </c>
      <c r="E426" t="s">
        <v>11</v>
      </c>
      <c r="F426" t="s">
        <v>12</v>
      </c>
      <c r="G426">
        <v>38705</v>
      </c>
      <c r="H426">
        <v>5</v>
      </c>
      <c r="I426">
        <v>28</v>
      </c>
      <c r="J426" t="s">
        <v>13</v>
      </c>
      <c r="K426" s="4">
        <f>Table1[[#This Row],[Sales]]*Table1[[#This Row],[Quantity]]</f>
        <v>193525</v>
      </c>
      <c r="L426" s="4">
        <f>Table1[[#This Row],[Revenue]]-(Table1[[#This Row],[Revenue]]*Table1[[#This Row],[Discount]]/100)</f>
        <v>139338</v>
      </c>
    </row>
    <row r="427" spans="1:12" x14ac:dyDescent="0.55000000000000004">
      <c r="A427" t="s">
        <v>456</v>
      </c>
      <c r="B427" s="2">
        <v>45103</v>
      </c>
      <c r="C427" t="s">
        <v>19</v>
      </c>
      <c r="D427" t="s">
        <v>27</v>
      </c>
      <c r="E427" t="s">
        <v>11</v>
      </c>
      <c r="F427" t="s">
        <v>44</v>
      </c>
      <c r="G427">
        <v>7436</v>
      </c>
      <c r="H427">
        <v>5</v>
      </c>
      <c r="I427">
        <v>21</v>
      </c>
      <c r="J427" t="s">
        <v>22</v>
      </c>
      <c r="K427" s="4">
        <f>Table1[[#This Row],[Sales]]*Table1[[#This Row],[Quantity]]</f>
        <v>37180</v>
      </c>
      <c r="L427" s="4">
        <f>Table1[[#This Row],[Revenue]]-(Table1[[#This Row],[Revenue]]*Table1[[#This Row],[Discount]]/100)</f>
        <v>29372.2</v>
      </c>
    </row>
    <row r="428" spans="1:12" x14ac:dyDescent="0.55000000000000004">
      <c r="A428" t="s">
        <v>457</v>
      </c>
      <c r="B428" s="2">
        <v>45220</v>
      </c>
      <c r="C428" t="s">
        <v>15</v>
      </c>
      <c r="D428" t="s">
        <v>37</v>
      </c>
      <c r="E428" t="s">
        <v>11</v>
      </c>
      <c r="F428" t="s">
        <v>34</v>
      </c>
      <c r="G428">
        <v>11845</v>
      </c>
      <c r="H428">
        <v>4</v>
      </c>
      <c r="I428">
        <v>30</v>
      </c>
      <c r="J428" t="s">
        <v>13</v>
      </c>
      <c r="K428" s="4">
        <f>Table1[[#This Row],[Sales]]*Table1[[#This Row],[Quantity]]</f>
        <v>47380</v>
      </c>
      <c r="L428" s="4">
        <f>Table1[[#This Row],[Revenue]]-(Table1[[#This Row],[Revenue]]*Table1[[#This Row],[Discount]]/100)</f>
        <v>33166</v>
      </c>
    </row>
    <row r="429" spans="1:12" x14ac:dyDescent="0.55000000000000004">
      <c r="A429" t="s">
        <v>458</v>
      </c>
      <c r="B429" s="2">
        <v>45006</v>
      </c>
      <c r="C429" t="s">
        <v>19</v>
      </c>
      <c r="D429" t="s">
        <v>37</v>
      </c>
      <c r="E429" t="s">
        <v>17</v>
      </c>
      <c r="F429" t="s">
        <v>38</v>
      </c>
      <c r="G429">
        <v>41159</v>
      </c>
      <c r="H429">
        <v>3</v>
      </c>
      <c r="I429">
        <v>10</v>
      </c>
      <c r="J429" t="s">
        <v>13</v>
      </c>
      <c r="K429" s="4">
        <f>Table1[[#This Row],[Sales]]*Table1[[#This Row],[Quantity]]</f>
        <v>123477</v>
      </c>
      <c r="L429" s="4">
        <f>Table1[[#This Row],[Revenue]]-(Table1[[#This Row],[Revenue]]*Table1[[#This Row],[Discount]]/100)</f>
        <v>111129.3</v>
      </c>
    </row>
    <row r="430" spans="1:12" x14ac:dyDescent="0.55000000000000004">
      <c r="A430" t="s">
        <v>459</v>
      </c>
      <c r="B430" s="2">
        <v>45108</v>
      </c>
      <c r="C430" t="s">
        <v>31</v>
      </c>
      <c r="D430" t="s">
        <v>20</v>
      </c>
      <c r="E430" t="s">
        <v>17</v>
      </c>
      <c r="F430" t="s">
        <v>34</v>
      </c>
      <c r="G430">
        <v>44365</v>
      </c>
      <c r="H430">
        <v>8</v>
      </c>
      <c r="I430">
        <v>1</v>
      </c>
      <c r="J430" t="s">
        <v>22</v>
      </c>
      <c r="K430" s="4">
        <f>Table1[[#This Row],[Sales]]*Table1[[#This Row],[Quantity]]</f>
        <v>354920</v>
      </c>
      <c r="L430" s="4">
        <f>Table1[[#This Row],[Revenue]]-(Table1[[#This Row],[Revenue]]*Table1[[#This Row],[Discount]]/100)</f>
        <v>351370.8</v>
      </c>
    </row>
    <row r="431" spans="1:12" x14ac:dyDescent="0.55000000000000004">
      <c r="A431" t="s">
        <v>460</v>
      </c>
      <c r="B431" s="2">
        <v>45069</v>
      </c>
      <c r="C431" t="s">
        <v>15</v>
      </c>
      <c r="D431" t="s">
        <v>20</v>
      </c>
      <c r="E431" t="s">
        <v>17</v>
      </c>
      <c r="F431" t="s">
        <v>34</v>
      </c>
      <c r="G431">
        <v>19825</v>
      </c>
      <c r="H431">
        <v>10</v>
      </c>
      <c r="I431">
        <v>1</v>
      </c>
      <c r="J431" t="s">
        <v>22</v>
      </c>
      <c r="K431" s="4">
        <f>Table1[[#This Row],[Sales]]*Table1[[#This Row],[Quantity]]</f>
        <v>198250</v>
      </c>
      <c r="L431" s="4">
        <f>Table1[[#This Row],[Revenue]]-(Table1[[#This Row],[Revenue]]*Table1[[#This Row],[Discount]]/100)</f>
        <v>196267.5</v>
      </c>
    </row>
    <row r="432" spans="1:12" x14ac:dyDescent="0.55000000000000004">
      <c r="A432" t="s">
        <v>461</v>
      </c>
      <c r="B432" s="2">
        <v>45144</v>
      </c>
      <c r="C432" t="s">
        <v>19</v>
      </c>
      <c r="D432" t="s">
        <v>20</v>
      </c>
      <c r="E432" t="s">
        <v>17</v>
      </c>
      <c r="F432" t="s">
        <v>21</v>
      </c>
      <c r="G432">
        <v>37551</v>
      </c>
      <c r="H432">
        <v>2</v>
      </c>
      <c r="I432">
        <v>13</v>
      </c>
      <c r="J432" t="s">
        <v>13</v>
      </c>
      <c r="K432" s="4">
        <f>Table1[[#This Row],[Sales]]*Table1[[#This Row],[Quantity]]</f>
        <v>75102</v>
      </c>
      <c r="L432" s="4">
        <f>Table1[[#This Row],[Revenue]]-(Table1[[#This Row],[Revenue]]*Table1[[#This Row],[Discount]]/100)</f>
        <v>65338.74</v>
      </c>
    </row>
    <row r="433" spans="1:12" x14ac:dyDescent="0.55000000000000004">
      <c r="A433" t="s">
        <v>462</v>
      </c>
      <c r="B433" s="2">
        <v>45150</v>
      </c>
      <c r="C433" t="s">
        <v>19</v>
      </c>
      <c r="D433" t="s">
        <v>16</v>
      </c>
      <c r="E433" t="s">
        <v>11</v>
      </c>
      <c r="F433" t="s">
        <v>12</v>
      </c>
      <c r="G433">
        <v>31993</v>
      </c>
      <c r="H433">
        <v>5</v>
      </c>
      <c r="I433">
        <v>8</v>
      </c>
      <c r="J433" t="s">
        <v>13</v>
      </c>
      <c r="K433" s="4">
        <f>Table1[[#This Row],[Sales]]*Table1[[#This Row],[Quantity]]</f>
        <v>159965</v>
      </c>
      <c r="L433" s="4">
        <f>Table1[[#This Row],[Revenue]]-(Table1[[#This Row],[Revenue]]*Table1[[#This Row],[Discount]]/100)</f>
        <v>147167.79999999999</v>
      </c>
    </row>
    <row r="434" spans="1:12" x14ac:dyDescent="0.55000000000000004">
      <c r="A434" t="s">
        <v>463</v>
      </c>
      <c r="B434" s="2">
        <v>44936</v>
      </c>
      <c r="C434" t="s">
        <v>15</v>
      </c>
      <c r="D434" t="s">
        <v>46</v>
      </c>
      <c r="E434" t="s">
        <v>11</v>
      </c>
      <c r="F434" t="s">
        <v>34</v>
      </c>
      <c r="G434">
        <v>30992</v>
      </c>
      <c r="H434">
        <v>2</v>
      </c>
      <c r="I434">
        <v>22</v>
      </c>
      <c r="J434" t="s">
        <v>25</v>
      </c>
      <c r="K434" s="4">
        <f>Table1[[#This Row],[Sales]]*Table1[[#This Row],[Quantity]]</f>
        <v>61984</v>
      </c>
      <c r="L434" s="4">
        <f>Table1[[#This Row],[Revenue]]-(Table1[[#This Row],[Revenue]]*Table1[[#This Row],[Discount]]/100)</f>
        <v>48347.520000000004</v>
      </c>
    </row>
    <row r="435" spans="1:12" x14ac:dyDescent="0.55000000000000004">
      <c r="A435" t="s">
        <v>464</v>
      </c>
      <c r="B435" s="2">
        <v>45065</v>
      </c>
      <c r="C435" t="s">
        <v>19</v>
      </c>
      <c r="D435" t="s">
        <v>46</v>
      </c>
      <c r="E435" t="s">
        <v>11</v>
      </c>
      <c r="F435" t="s">
        <v>12</v>
      </c>
      <c r="G435">
        <v>7428</v>
      </c>
      <c r="H435">
        <v>10</v>
      </c>
      <c r="I435">
        <v>1</v>
      </c>
      <c r="J435" t="s">
        <v>25</v>
      </c>
      <c r="K435" s="4">
        <f>Table1[[#This Row],[Sales]]*Table1[[#This Row],[Quantity]]</f>
        <v>74280</v>
      </c>
      <c r="L435" s="4">
        <f>Table1[[#This Row],[Revenue]]-(Table1[[#This Row],[Revenue]]*Table1[[#This Row],[Discount]]/100)</f>
        <v>73537.2</v>
      </c>
    </row>
    <row r="436" spans="1:12" x14ac:dyDescent="0.55000000000000004">
      <c r="A436" t="s">
        <v>465</v>
      </c>
      <c r="B436" s="2">
        <v>45050</v>
      </c>
      <c r="C436" t="s">
        <v>19</v>
      </c>
      <c r="D436" t="s">
        <v>16</v>
      </c>
      <c r="E436" t="s">
        <v>17</v>
      </c>
      <c r="F436" t="s">
        <v>29</v>
      </c>
      <c r="G436">
        <v>25432</v>
      </c>
      <c r="H436">
        <v>3</v>
      </c>
      <c r="I436">
        <v>16</v>
      </c>
      <c r="J436" t="s">
        <v>25</v>
      </c>
      <c r="K436" s="4">
        <f>Table1[[#This Row],[Sales]]*Table1[[#This Row],[Quantity]]</f>
        <v>76296</v>
      </c>
      <c r="L436" s="4">
        <f>Table1[[#This Row],[Revenue]]-(Table1[[#This Row],[Revenue]]*Table1[[#This Row],[Discount]]/100)</f>
        <v>64088.639999999999</v>
      </c>
    </row>
    <row r="437" spans="1:12" x14ac:dyDescent="0.55000000000000004">
      <c r="A437" t="s">
        <v>466</v>
      </c>
      <c r="B437" s="2">
        <v>45018</v>
      </c>
      <c r="C437" t="s">
        <v>24</v>
      </c>
      <c r="D437" t="s">
        <v>16</v>
      </c>
      <c r="E437" t="s">
        <v>11</v>
      </c>
      <c r="F437" t="s">
        <v>48</v>
      </c>
      <c r="G437">
        <v>28526</v>
      </c>
      <c r="H437">
        <v>10</v>
      </c>
      <c r="I437">
        <v>1</v>
      </c>
      <c r="J437" t="s">
        <v>25</v>
      </c>
      <c r="K437" s="4">
        <f>Table1[[#This Row],[Sales]]*Table1[[#This Row],[Quantity]]</f>
        <v>285260</v>
      </c>
      <c r="L437" s="4">
        <f>Table1[[#This Row],[Revenue]]-(Table1[[#This Row],[Revenue]]*Table1[[#This Row],[Discount]]/100)</f>
        <v>282407.40000000002</v>
      </c>
    </row>
    <row r="438" spans="1:12" x14ac:dyDescent="0.55000000000000004">
      <c r="A438" t="s">
        <v>467</v>
      </c>
      <c r="B438" s="2">
        <v>45187</v>
      </c>
      <c r="C438" t="s">
        <v>19</v>
      </c>
      <c r="D438" t="s">
        <v>27</v>
      </c>
      <c r="E438" t="s">
        <v>17</v>
      </c>
      <c r="F438" t="s">
        <v>38</v>
      </c>
      <c r="G438">
        <v>24024</v>
      </c>
      <c r="H438">
        <v>2</v>
      </c>
      <c r="I438">
        <v>26</v>
      </c>
      <c r="J438" t="s">
        <v>25</v>
      </c>
      <c r="K438" s="4">
        <f>Table1[[#This Row],[Sales]]*Table1[[#This Row],[Quantity]]</f>
        <v>48048</v>
      </c>
      <c r="L438" s="4">
        <f>Table1[[#This Row],[Revenue]]-(Table1[[#This Row],[Revenue]]*Table1[[#This Row],[Discount]]/100)</f>
        <v>35555.520000000004</v>
      </c>
    </row>
    <row r="439" spans="1:12" x14ac:dyDescent="0.55000000000000004">
      <c r="A439" t="s">
        <v>468</v>
      </c>
      <c r="B439" s="2">
        <v>45042</v>
      </c>
      <c r="C439" t="s">
        <v>31</v>
      </c>
      <c r="D439" t="s">
        <v>37</v>
      </c>
      <c r="E439" t="s">
        <v>11</v>
      </c>
      <c r="F439" t="s">
        <v>38</v>
      </c>
      <c r="G439">
        <v>25141</v>
      </c>
      <c r="H439">
        <v>6</v>
      </c>
      <c r="I439">
        <v>24</v>
      </c>
      <c r="J439" t="s">
        <v>22</v>
      </c>
      <c r="K439" s="4">
        <f>Table1[[#This Row],[Sales]]*Table1[[#This Row],[Quantity]]</f>
        <v>150846</v>
      </c>
      <c r="L439" s="4">
        <f>Table1[[#This Row],[Revenue]]-(Table1[[#This Row],[Revenue]]*Table1[[#This Row],[Discount]]/100)</f>
        <v>114642.95999999999</v>
      </c>
    </row>
    <row r="440" spans="1:12" x14ac:dyDescent="0.55000000000000004">
      <c r="A440" t="s">
        <v>469</v>
      </c>
      <c r="B440" s="2">
        <v>45153</v>
      </c>
      <c r="C440" t="s">
        <v>15</v>
      </c>
      <c r="D440" t="s">
        <v>16</v>
      </c>
      <c r="E440" t="s">
        <v>11</v>
      </c>
      <c r="F440" t="s">
        <v>34</v>
      </c>
      <c r="G440">
        <v>33835</v>
      </c>
      <c r="H440">
        <v>5</v>
      </c>
      <c r="I440">
        <v>10</v>
      </c>
      <c r="J440" t="s">
        <v>25</v>
      </c>
      <c r="K440" s="4">
        <f>Table1[[#This Row],[Sales]]*Table1[[#This Row],[Quantity]]</f>
        <v>169175</v>
      </c>
      <c r="L440" s="4">
        <f>Table1[[#This Row],[Revenue]]-(Table1[[#This Row],[Revenue]]*Table1[[#This Row],[Discount]]/100)</f>
        <v>152257.5</v>
      </c>
    </row>
    <row r="441" spans="1:12" x14ac:dyDescent="0.55000000000000004">
      <c r="A441" t="s">
        <v>470</v>
      </c>
      <c r="B441" s="2">
        <v>45209</v>
      </c>
      <c r="C441" t="s">
        <v>24</v>
      </c>
      <c r="D441" t="s">
        <v>46</v>
      </c>
      <c r="E441" t="s">
        <v>17</v>
      </c>
      <c r="F441" t="s">
        <v>48</v>
      </c>
      <c r="G441">
        <v>45675</v>
      </c>
      <c r="H441">
        <v>9</v>
      </c>
      <c r="I441">
        <v>29</v>
      </c>
      <c r="J441" t="s">
        <v>13</v>
      </c>
      <c r="K441" s="4">
        <f>Table1[[#This Row],[Sales]]*Table1[[#This Row],[Quantity]]</f>
        <v>411075</v>
      </c>
      <c r="L441" s="4">
        <f>Table1[[#This Row],[Revenue]]-(Table1[[#This Row],[Revenue]]*Table1[[#This Row],[Discount]]/100)</f>
        <v>291863.25</v>
      </c>
    </row>
    <row r="442" spans="1:12" x14ac:dyDescent="0.55000000000000004">
      <c r="A442" t="s">
        <v>471</v>
      </c>
      <c r="B442" s="2">
        <v>45107</v>
      </c>
      <c r="C442" t="s">
        <v>19</v>
      </c>
      <c r="D442" t="s">
        <v>16</v>
      </c>
      <c r="E442" t="s">
        <v>17</v>
      </c>
      <c r="F442" t="s">
        <v>29</v>
      </c>
      <c r="G442">
        <v>44711</v>
      </c>
      <c r="H442">
        <v>3</v>
      </c>
      <c r="I442">
        <v>21</v>
      </c>
      <c r="J442" t="s">
        <v>22</v>
      </c>
      <c r="K442" s="4">
        <f>Table1[[#This Row],[Sales]]*Table1[[#This Row],[Quantity]]</f>
        <v>134133</v>
      </c>
      <c r="L442" s="4">
        <f>Table1[[#This Row],[Revenue]]-(Table1[[#This Row],[Revenue]]*Table1[[#This Row],[Discount]]/100)</f>
        <v>105965.07</v>
      </c>
    </row>
    <row r="443" spans="1:12" x14ac:dyDescent="0.55000000000000004">
      <c r="A443" t="s">
        <v>472</v>
      </c>
      <c r="B443" s="2">
        <v>45122</v>
      </c>
      <c r="C443" t="s">
        <v>24</v>
      </c>
      <c r="D443" t="s">
        <v>46</v>
      </c>
      <c r="E443" t="s">
        <v>17</v>
      </c>
      <c r="F443" t="s">
        <v>44</v>
      </c>
      <c r="G443">
        <v>13195</v>
      </c>
      <c r="H443">
        <v>7</v>
      </c>
      <c r="I443">
        <v>16</v>
      </c>
      <c r="J443" t="s">
        <v>13</v>
      </c>
      <c r="K443" s="4">
        <f>Table1[[#This Row],[Sales]]*Table1[[#This Row],[Quantity]]</f>
        <v>92365</v>
      </c>
      <c r="L443" s="4">
        <f>Table1[[#This Row],[Revenue]]-(Table1[[#This Row],[Revenue]]*Table1[[#This Row],[Discount]]/100)</f>
        <v>77586.600000000006</v>
      </c>
    </row>
    <row r="444" spans="1:12" x14ac:dyDescent="0.55000000000000004">
      <c r="A444" t="s">
        <v>473</v>
      </c>
      <c r="B444" s="2">
        <v>45139</v>
      </c>
      <c r="C444" t="s">
        <v>19</v>
      </c>
      <c r="D444" t="s">
        <v>46</v>
      </c>
      <c r="E444" t="s">
        <v>17</v>
      </c>
      <c r="F444" t="s">
        <v>34</v>
      </c>
      <c r="G444">
        <v>10493</v>
      </c>
      <c r="H444">
        <v>6</v>
      </c>
      <c r="I444">
        <v>13</v>
      </c>
      <c r="J444" t="s">
        <v>13</v>
      </c>
      <c r="K444" s="4">
        <f>Table1[[#This Row],[Sales]]*Table1[[#This Row],[Quantity]]</f>
        <v>62958</v>
      </c>
      <c r="L444" s="4">
        <f>Table1[[#This Row],[Revenue]]-(Table1[[#This Row],[Revenue]]*Table1[[#This Row],[Discount]]/100)</f>
        <v>54773.46</v>
      </c>
    </row>
    <row r="445" spans="1:12" x14ac:dyDescent="0.55000000000000004">
      <c r="A445" t="s">
        <v>474</v>
      </c>
      <c r="B445" s="2">
        <v>45287</v>
      </c>
      <c r="C445" t="s">
        <v>19</v>
      </c>
      <c r="D445" t="s">
        <v>20</v>
      </c>
      <c r="E445" t="s">
        <v>11</v>
      </c>
      <c r="F445" t="s">
        <v>44</v>
      </c>
      <c r="G445">
        <v>41937</v>
      </c>
      <c r="H445">
        <v>3</v>
      </c>
      <c r="I445">
        <v>10</v>
      </c>
      <c r="J445" t="s">
        <v>25</v>
      </c>
      <c r="K445" s="4">
        <f>Table1[[#This Row],[Sales]]*Table1[[#This Row],[Quantity]]</f>
        <v>125811</v>
      </c>
      <c r="L445" s="4">
        <f>Table1[[#This Row],[Revenue]]-(Table1[[#This Row],[Revenue]]*Table1[[#This Row],[Discount]]/100)</f>
        <v>113229.9</v>
      </c>
    </row>
    <row r="446" spans="1:12" x14ac:dyDescent="0.55000000000000004">
      <c r="A446" t="s">
        <v>475</v>
      </c>
      <c r="B446" s="2">
        <v>45080</v>
      </c>
      <c r="C446" t="s">
        <v>15</v>
      </c>
      <c r="D446" t="s">
        <v>46</v>
      </c>
      <c r="E446" t="s">
        <v>11</v>
      </c>
      <c r="F446" t="s">
        <v>29</v>
      </c>
      <c r="G446">
        <v>31596</v>
      </c>
      <c r="H446">
        <v>7</v>
      </c>
      <c r="I446">
        <v>9</v>
      </c>
      <c r="J446" t="s">
        <v>25</v>
      </c>
      <c r="K446" s="4">
        <f>Table1[[#This Row],[Sales]]*Table1[[#This Row],[Quantity]]</f>
        <v>221172</v>
      </c>
      <c r="L446" s="4">
        <f>Table1[[#This Row],[Revenue]]-(Table1[[#This Row],[Revenue]]*Table1[[#This Row],[Discount]]/100)</f>
        <v>201266.52</v>
      </c>
    </row>
    <row r="447" spans="1:12" x14ac:dyDescent="0.55000000000000004">
      <c r="A447" t="s">
        <v>476</v>
      </c>
      <c r="B447" s="2">
        <v>44957</v>
      </c>
      <c r="C447" t="s">
        <v>24</v>
      </c>
      <c r="D447" t="s">
        <v>16</v>
      </c>
      <c r="E447" t="s">
        <v>17</v>
      </c>
      <c r="F447" t="s">
        <v>38</v>
      </c>
      <c r="G447">
        <v>17984</v>
      </c>
      <c r="H447">
        <v>9</v>
      </c>
      <c r="I447">
        <v>0</v>
      </c>
      <c r="J447" t="s">
        <v>22</v>
      </c>
      <c r="K447" s="4">
        <f>Table1[[#This Row],[Sales]]*Table1[[#This Row],[Quantity]]</f>
        <v>161856</v>
      </c>
      <c r="L447" s="4">
        <f>Table1[[#This Row],[Revenue]]-(Table1[[#This Row],[Revenue]]*Table1[[#This Row],[Discount]]/100)</f>
        <v>161856</v>
      </c>
    </row>
    <row r="448" spans="1:12" x14ac:dyDescent="0.55000000000000004">
      <c r="A448" t="s">
        <v>477</v>
      </c>
      <c r="B448" s="2">
        <v>45071</v>
      </c>
      <c r="C448" t="s">
        <v>15</v>
      </c>
      <c r="D448" t="s">
        <v>46</v>
      </c>
      <c r="E448" t="s">
        <v>17</v>
      </c>
      <c r="F448" t="s">
        <v>29</v>
      </c>
      <c r="G448">
        <v>9248</v>
      </c>
      <c r="H448">
        <v>2</v>
      </c>
      <c r="I448">
        <v>25</v>
      </c>
      <c r="J448" t="s">
        <v>25</v>
      </c>
      <c r="K448" s="4">
        <f>Table1[[#This Row],[Sales]]*Table1[[#This Row],[Quantity]]</f>
        <v>18496</v>
      </c>
      <c r="L448" s="4">
        <f>Table1[[#This Row],[Revenue]]-(Table1[[#This Row],[Revenue]]*Table1[[#This Row],[Discount]]/100)</f>
        <v>13872</v>
      </c>
    </row>
    <row r="449" spans="1:12" x14ac:dyDescent="0.55000000000000004">
      <c r="A449" t="s">
        <v>478</v>
      </c>
      <c r="B449" s="2">
        <v>45238</v>
      </c>
      <c r="C449" t="s">
        <v>15</v>
      </c>
      <c r="D449" t="s">
        <v>16</v>
      </c>
      <c r="E449" t="s">
        <v>11</v>
      </c>
      <c r="F449" t="s">
        <v>38</v>
      </c>
      <c r="G449">
        <v>42586</v>
      </c>
      <c r="H449">
        <v>1</v>
      </c>
      <c r="I449">
        <v>13</v>
      </c>
      <c r="J449" t="s">
        <v>22</v>
      </c>
      <c r="K449" s="4">
        <f>Table1[[#This Row],[Sales]]*Table1[[#This Row],[Quantity]]</f>
        <v>42586</v>
      </c>
      <c r="L449" s="4">
        <f>Table1[[#This Row],[Revenue]]-(Table1[[#This Row],[Revenue]]*Table1[[#This Row],[Discount]]/100)</f>
        <v>37049.82</v>
      </c>
    </row>
    <row r="450" spans="1:12" x14ac:dyDescent="0.55000000000000004">
      <c r="A450" t="s">
        <v>479</v>
      </c>
      <c r="B450" s="2">
        <v>45085</v>
      </c>
      <c r="C450" t="s">
        <v>15</v>
      </c>
      <c r="D450" t="s">
        <v>20</v>
      </c>
      <c r="E450" t="s">
        <v>11</v>
      </c>
      <c r="F450" t="s">
        <v>21</v>
      </c>
      <c r="G450">
        <v>49866</v>
      </c>
      <c r="H450">
        <v>5</v>
      </c>
      <c r="I450">
        <v>5</v>
      </c>
      <c r="J450" t="s">
        <v>25</v>
      </c>
      <c r="K450" s="4">
        <f>Table1[[#This Row],[Sales]]*Table1[[#This Row],[Quantity]]</f>
        <v>249330</v>
      </c>
      <c r="L450" s="4">
        <f>Table1[[#This Row],[Revenue]]-(Table1[[#This Row],[Revenue]]*Table1[[#This Row],[Discount]]/100)</f>
        <v>236863.5</v>
      </c>
    </row>
    <row r="451" spans="1:12" x14ac:dyDescent="0.55000000000000004">
      <c r="A451" t="s">
        <v>480</v>
      </c>
      <c r="B451" s="2">
        <v>45184</v>
      </c>
      <c r="C451" t="s">
        <v>31</v>
      </c>
      <c r="D451" t="s">
        <v>37</v>
      </c>
      <c r="E451" t="s">
        <v>11</v>
      </c>
      <c r="F451" t="s">
        <v>38</v>
      </c>
      <c r="G451">
        <v>42531</v>
      </c>
      <c r="H451">
        <v>3</v>
      </c>
      <c r="I451">
        <v>21</v>
      </c>
      <c r="J451" t="s">
        <v>25</v>
      </c>
      <c r="K451" s="4">
        <f>Table1[[#This Row],[Sales]]*Table1[[#This Row],[Quantity]]</f>
        <v>127593</v>
      </c>
      <c r="L451" s="4">
        <f>Table1[[#This Row],[Revenue]]-(Table1[[#This Row],[Revenue]]*Table1[[#This Row],[Discount]]/100)</f>
        <v>100798.47</v>
      </c>
    </row>
    <row r="452" spans="1:12" x14ac:dyDescent="0.55000000000000004">
      <c r="A452" t="s">
        <v>481</v>
      </c>
      <c r="B452" s="2">
        <v>45254</v>
      </c>
      <c r="C452" t="s">
        <v>15</v>
      </c>
      <c r="D452" t="s">
        <v>16</v>
      </c>
      <c r="E452" t="s">
        <v>17</v>
      </c>
      <c r="F452" t="s">
        <v>12</v>
      </c>
      <c r="G452">
        <v>42587</v>
      </c>
      <c r="H452">
        <v>7</v>
      </c>
      <c r="I452">
        <v>15</v>
      </c>
      <c r="J452" t="s">
        <v>25</v>
      </c>
      <c r="K452" s="4">
        <f>Table1[[#This Row],[Sales]]*Table1[[#This Row],[Quantity]]</f>
        <v>298109</v>
      </c>
      <c r="L452" s="4">
        <f>Table1[[#This Row],[Revenue]]-(Table1[[#This Row],[Revenue]]*Table1[[#This Row],[Discount]]/100)</f>
        <v>253392.65</v>
      </c>
    </row>
    <row r="453" spans="1:12" x14ac:dyDescent="0.55000000000000004">
      <c r="A453" t="s">
        <v>482</v>
      </c>
      <c r="B453" s="2">
        <v>45198</v>
      </c>
      <c r="C453" t="s">
        <v>15</v>
      </c>
      <c r="D453" t="s">
        <v>46</v>
      </c>
      <c r="E453" t="s">
        <v>17</v>
      </c>
      <c r="F453" t="s">
        <v>48</v>
      </c>
      <c r="G453">
        <v>43959</v>
      </c>
      <c r="H453">
        <v>9</v>
      </c>
      <c r="I453">
        <v>1</v>
      </c>
      <c r="J453" t="s">
        <v>22</v>
      </c>
      <c r="K453" s="4">
        <f>Table1[[#This Row],[Sales]]*Table1[[#This Row],[Quantity]]</f>
        <v>395631</v>
      </c>
      <c r="L453" s="4">
        <f>Table1[[#This Row],[Revenue]]-(Table1[[#This Row],[Revenue]]*Table1[[#This Row],[Discount]]/100)</f>
        <v>391674.69</v>
      </c>
    </row>
    <row r="454" spans="1:12" x14ac:dyDescent="0.55000000000000004">
      <c r="A454" t="s">
        <v>483</v>
      </c>
      <c r="B454" s="2">
        <v>45184</v>
      </c>
      <c r="C454" t="s">
        <v>24</v>
      </c>
      <c r="D454" t="s">
        <v>27</v>
      </c>
      <c r="E454" t="s">
        <v>11</v>
      </c>
      <c r="F454" t="s">
        <v>48</v>
      </c>
      <c r="G454">
        <v>49261</v>
      </c>
      <c r="H454">
        <v>6</v>
      </c>
      <c r="I454">
        <v>4</v>
      </c>
      <c r="J454" t="s">
        <v>22</v>
      </c>
      <c r="K454" s="4">
        <f>Table1[[#This Row],[Sales]]*Table1[[#This Row],[Quantity]]</f>
        <v>295566</v>
      </c>
      <c r="L454" s="4">
        <f>Table1[[#This Row],[Revenue]]-(Table1[[#This Row],[Revenue]]*Table1[[#This Row],[Discount]]/100)</f>
        <v>283743.35999999999</v>
      </c>
    </row>
    <row r="455" spans="1:12" x14ac:dyDescent="0.55000000000000004">
      <c r="A455" t="s">
        <v>484</v>
      </c>
      <c r="B455" s="2">
        <v>45051</v>
      </c>
      <c r="C455" t="s">
        <v>31</v>
      </c>
      <c r="D455" t="s">
        <v>46</v>
      </c>
      <c r="E455" t="s">
        <v>17</v>
      </c>
      <c r="F455" t="s">
        <v>44</v>
      </c>
      <c r="G455">
        <v>14537</v>
      </c>
      <c r="H455">
        <v>1</v>
      </c>
      <c r="I455">
        <v>29</v>
      </c>
      <c r="J455" t="s">
        <v>22</v>
      </c>
      <c r="K455" s="4">
        <f>Table1[[#This Row],[Sales]]*Table1[[#This Row],[Quantity]]</f>
        <v>14537</v>
      </c>
      <c r="L455" s="4">
        <f>Table1[[#This Row],[Revenue]]-(Table1[[#This Row],[Revenue]]*Table1[[#This Row],[Discount]]/100)</f>
        <v>10321.27</v>
      </c>
    </row>
    <row r="456" spans="1:12" x14ac:dyDescent="0.55000000000000004">
      <c r="A456" t="s">
        <v>485</v>
      </c>
      <c r="B456" s="2">
        <v>45289</v>
      </c>
      <c r="C456" t="s">
        <v>19</v>
      </c>
      <c r="D456" t="s">
        <v>37</v>
      </c>
      <c r="E456" t="s">
        <v>17</v>
      </c>
      <c r="F456" t="s">
        <v>29</v>
      </c>
      <c r="G456">
        <v>4300</v>
      </c>
      <c r="H456">
        <v>9</v>
      </c>
      <c r="I456">
        <v>25</v>
      </c>
      <c r="J456" t="s">
        <v>13</v>
      </c>
      <c r="K456" s="4">
        <f>Table1[[#This Row],[Sales]]*Table1[[#This Row],[Quantity]]</f>
        <v>38700</v>
      </c>
      <c r="L456" s="4">
        <f>Table1[[#This Row],[Revenue]]-(Table1[[#This Row],[Revenue]]*Table1[[#This Row],[Discount]]/100)</f>
        <v>29025</v>
      </c>
    </row>
    <row r="457" spans="1:12" x14ac:dyDescent="0.55000000000000004">
      <c r="A457" t="s">
        <v>486</v>
      </c>
      <c r="B457" s="2">
        <v>45255</v>
      </c>
      <c r="C457" t="s">
        <v>15</v>
      </c>
      <c r="D457" t="s">
        <v>27</v>
      </c>
      <c r="E457" t="s">
        <v>11</v>
      </c>
      <c r="F457" t="s">
        <v>34</v>
      </c>
      <c r="G457">
        <v>41941</v>
      </c>
      <c r="H457">
        <v>9</v>
      </c>
      <c r="I457">
        <v>23</v>
      </c>
      <c r="J457" t="s">
        <v>22</v>
      </c>
      <c r="K457" s="4">
        <f>Table1[[#This Row],[Sales]]*Table1[[#This Row],[Quantity]]</f>
        <v>377469</v>
      </c>
      <c r="L457" s="4">
        <f>Table1[[#This Row],[Revenue]]-(Table1[[#This Row],[Revenue]]*Table1[[#This Row],[Discount]]/100)</f>
        <v>290651.13</v>
      </c>
    </row>
    <row r="458" spans="1:12" x14ac:dyDescent="0.55000000000000004">
      <c r="A458" t="s">
        <v>487</v>
      </c>
      <c r="B458" s="2">
        <v>44948</v>
      </c>
      <c r="C458" t="s">
        <v>24</v>
      </c>
      <c r="D458" t="s">
        <v>46</v>
      </c>
      <c r="E458" t="s">
        <v>17</v>
      </c>
      <c r="F458" t="s">
        <v>21</v>
      </c>
      <c r="G458">
        <v>2732</v>
      </c>
      <c r="H458">
        <v>6</v>
      </c>
      <c r="I458">
        <v>8</v>
      </c>
      <c r="J458" t="s">
        <v>25</v>
      </c>
      <c r="K458" s="4">
        <f>Table1[[#This Row],[Sales]]*Table1[[#This Row],[Quantity]]</f>
        <v>16392</v>
      </c>
      <c r="L458" s="4">
        <f>Table1[[#This Row],[Revenue]]-(Table1[[#This Row],[Revenue]]*Table1[[#This Row],[Discount]]/100)</f>
        <v>15080.64</v>
      </c>
    </row>
    <row r="459" spans="1:12" x14ac:dyDescent="0.55000000000000004">
      <c r="A459" t="s">
        <v>488</v>
      </c>
      <c r="B459" s="2">
        <v>45167</v>
      </c>
      <c r="C459" t="s">
        <v>31</v>
      </c>
      <c r="D459" t="s">
        <v>20</v>
      </c>
      <c r="E459" t="s">
        <v>17</v>
      </c>
      <c r="F459" t="s">
        <v>21</v>
      </c>
      <c r="G459">
        <v>29664</v>
      </c>
      <c r="H459">
        <v>2</v>
      </c>
      <c r="I459">
        <v>14</v>
      </c>
      <c r="J459" t="s">
        <v>22</v>
      </c>
      <c r="K459" s="4">
        <f>Table1[[#This Row],[Sales]]*Table1[[#This Row],[Quantity]]</f>
        <v>59328</v>
      </c>
      <c r="L459" s="4">
        <f>Table1[[#This Row],[Revenue]]-(Table1[[#This Row],[Revenue]]*Table1[[#This Row],[Discount]]/100)</f>
        <v>51022.080000000002</v>
      </c>
    </row>
    <row r="460" spans="1:12" x14ac:dyDescent="0.55000000000000004">
      <c r="A460" t="s">
        <v>489</v>
      </c>
      <c r="B460" s="2">
        <v>45256</v>
      </c>
      <c r="C460" t="s">
        <v>24</v>
      </c>
      <c r="D460" t="s">
        <v>37</v>
      </c>
      <c r="E460" t="s">
        <v>11</v>
      </c>
      <c r="F460" t="s">
        <v>21</v>
      </c>
      <c r="G460">
        <v>12616</v>
      </c>
      <c r="H460">
        <v>7</v>
      </c>
      <c r="I460">
        <v>19</v>
      </c>
      <c r="J460" t="s">
        <v>13</v>
      </c>
      <c r="K460" s="4">
        <f>Table1[[#This Row],[Sales]]*Table1[[#This Row],[Quantity]]</f>
        <v>88312</v>
      </c>
      <c r="L460" s="4">
        <f>Table1[[#This Row],[Revenue]]-(Table1[[#This Row],[Revenue]]*Table1[[#This Row],[Discount]]/100)</f>
        <v>71532.72</v>
      </c>
    </row>
    <row r="461" spans="1:12" x14ac:dyDescent="0.55000000000000004">
      <c r="A461" t="s">
        <v>490</v>
      </c>
      <c r="B461" s="2">
        <v>45059</v>
      </c>
      <c r="C461" t="s">
        <v>15</v>
      </c>
      <c r="D461" t="s">
        <v>27</v>
      </c>
      <c r="E461" t="s">
        <v>17</v>
      </c>
      <c r="F461" t="s">
        <v>34</v>
      </c>
      <c r="G461">
        <v>13522</v>
      </c>
      <c r="H461">
        <v>2</v>
      </c>
      <c r="I461">
        <v>4</v>
      </c>
      <c r="J461" t="s">
        <v>25</v>
      </c>
      <c r="K461" s="4">
        <f>Table1[[#This Row],[Sales]]*Table1[[#This Row],[Quantity]]</f>
        <v>27044</v>
      </c>
      <c r="L461" s="4">
        <f>Table1[[#This Row],[Revenue]]-(Table1[[#This Row],[Revenue]]*Table1[[#This Row],[Discount]]/100)</f>
        <v>25962.240000000002</v>
      </c>
    </row>
    <row r="462" spans="1:12" x14ac:dyDescent="0.55000000000000004">
      <c r="A462" t="s">
        <v>491</v>
      </c>
      <c r="B462" s="2">
        <v>44946</v>
      </c>
      <c r="C462" t="s">
        <v>15</v>
      </c>
      <c r="D462" t="s">
        <v>37</v>
      </c>
      <c r="E462" t="s">
        <v>17</v>
      </c>
      <c r="F462" t="s">
        <v>12</v>
      </c>
      <c r="G462">
        <v>12187</v>
      </c>
      <c r="H462">
        <v>8</v>
      </c>
      <c r="I462">
        <v>12</v>
      </c>
      <c r="J462" t="s">
        <v>13</v>
      </c>
      <c r="K462" s="4">
        <f>Table1[[#This Row],[Sales]]*Table1[[#This Row],[Quantity]]</f>
        <v>97496</v>
      </c>
      <c r="L462" s="4">
        <f>Table1[[#This Row],[Revenue]]-(Table1[[#This Row],[Revenue]]*Table1[[#This Row],[Discount]]/100)</f>
        <v>85796.479999999996</v>
      </c>
    </row>
    <row r="463" spans="1:12" x14ac:dyDescent="0.55000000000000004">
      <c r="A463" t="s">
        <v>492</v>
      </c>
      <c r="B463" s="2">
        <v>45272</v>
      </c>
      <c r="C463" t="s">
        <v>24</v>
      </c>
      <c r="D463" t="s">
        <v>46</v>
      </c>
      <c r="E463" t="s">
        <v>17</v>
      </c>
      <c r="F463" t="s">
        <v>38</v>
      </c>
      <c r="G463">
        <v>42639</v>
      </c>
      <c r="H463">
        <v>8</v>
      </c>
      <c r="I463">
        <v>10</v>
      </c>
      <c r="J463" t="s">
        <v>13</v>
      </c>
      <c r="K463" s="4">
        <f>Table1[[#This Row],[Sales]]*Table1[[#This Row],[Quantity]]</f>
        <v>341112</v>
      </c>
      <c r="L463" s="4">
        <f>Table1[[#This Row],[Revenue]]-(Table1[[#This Row],[Revenue]]*Table1[[#This Row],[Discount]]/100)</f>
        <v>307000.8</v>
      </c>
    </row>
    <row r="464" spans="1:12" x14ac:dyDescent="0.55000000000000004">
      <c r="A464" t="s">
        <v>493</v>
      </c>
      <c r="B464" s="2">
        <v>45048</v>
      </c>
      <c r="C464" t="s">
        <v>24</v>
      </c>
      <c r="D464" t="s">
        <v>37</v>
      </c>
      <c r="E464" t="s">
        <v>11</v>
      </c>
      <c r="F464" t="s">
        <v>44</v>
      </c>
      <c r="G464">
        <v>10524</v>
      </c>
      <c r="H464">
        <v>9</v>
      </c>
      <c r="I464">
        <v>18</v>
      </c>
      <c r="J464" t="s">
        <v>13</v>
      </c>
      <c r="K464" s="4">
        <f>Table1[[#This Row],[Sales]]*Table1[[#This Row],[Quantity]]</f>
        <v>94716</v>
      </c>
      <c r="L464" s="4">
        <f>Table1[[#This Row],[Revenue]]-(Table1[[#This Row],[Revenue]]*Table1[[#This Row],[Discount]]/100)</f>
        <v>77667.12</v>
      </c>
    </row>
    <row r="465" spans="1:12" x14ac:dyDescent="0.55000000000000004">
      <c r="A465" t="s">
        <v>494</v>
      </c>
      <c r="B465" s="2">
        <v>45115</v>
      </c>
      <c r="C465" t="s">
        <v>19</v>
      </c>
      <c r="D465" t="s">
        <v>46</v>
      </c>
      <c r="E465" t="s">
        <v>17</v>
      </c>
      <c r="F465" t="s">
        <v>38</v>
      </c>
      <c r="G465">
        <v>18868</v>
      </c>
      <c r="H465">
        <v>6</v>
      </c>
      <c r="I465">
        <v>23</v>
      </c>
      <c r="J465" t="s">
        <v>13</v>
      </c>
      <c r="K465" s="4">
        <f>Table1[[#This Row],[Sales]]*Table1[[#This Row],[Quantity]]</f>
        <v>113208</v>
      </c>
      <c r="L465" s="4">
        <f>Table1[[#This Row],[Revenue]]-(Table1[[#This Row],[Revenue]]*Table1[[#This Row],[Discount]]/100)</f>
        <v>87170.16</v>
      </c>
    </row>
    <row r="466" spans="1:12" x14ac:dyDescent="0.55000000000000004">
      <c r="A466" t="s">
        <v>495</v>
      </c>
      <c r="B466" s="2">
        <v>45201</v>
      </c>
      <c r="C466" t="s">
        <v>15</v>
      </c>
      <c r="D466" t="s">
        <v>37</v>
      </c>
      <c r="E466" t="s">
        <v>11</v>
      </c>
      <c r="F466" t="s">
        <v>21</v>
      </c>
      <c r="G466">
        <v>33066</v>
      </c>
      <c r="H466">
        <v>5</v>
      </c>
      <c r="I466">
        <v>3</v>
      </c>
      <c r="J466" t="s">
        <v>13</v>
      </c>
      <c r="K466" s="4">
        <f>Table1[[#This Row],[Sales]]*Table1[[#This Row],[Quantity]]</f>
        <v>165330</v>
      </c>
      <c r="L466" s="4">
        <f>Table1[[#This Row],[Revenue]]-(Table1[[#This Row],[Revenue]]*Table1[[#This Row],[Discount]]/100)</f>
        <v>160370.1</v>
      </c>
    </row>
    <row r="467" spans="1:12" x14ac:dyDescent="0.55000000000000004">
      <c r="A467" t="s">
        <v>496</v>
      </c>
      <c r="B467" s="2">
        <v>45082</v>
      </c>
      <c r="C467" t="s">
        <v>31</v>
      </c>
      <c r="D467" t="s">
        <v>20</v>
      </c>
      <c r="E467" t="s">
        <v>11</v>
      </c>
      <c r="F467" t="s">
        <v>29</v>
      </c>
      <c r="G467">
        <v>31375</v>
      </c>
      <c r="H467">
        <v>8</v>
      </c>
      <c r="I467">
        <v>15</v>
      </c>
      <c r="J467" t="s">
        <v>13</v>
      </c>
      <c r="K467" s="4">
        <f>Table1[[#This Row],[Sales]]*Table1[[#This Row],[Quantity]]</f>
        <v>251000</v>
      </c>
      <c r="L467" s="4">
        <f>Table1[[#This Row],[Revenue]]-(Table1[[#This Row],[Revenue]]*Table1[[#This Row],[Discount]]/100)</f>
        <v>213350</v>
      </c>
    </row>
    <row r="468" spans="1:12" x14ac:dyDescent="0.55000000000000004">
      <c r="A468" t="s">
        <v>497</v>
      </c>
      <c r="B468" s="2">
        <v>45095</v>
      </c>
      <c r="C468" t="s">
        <v>19</v>
      </c>
      <c r="D468" t="s">
        <v>16</v>
      </c>
      <c r="E468" t="s">
        <v>17</v>
      </c>
      <c r="F468" t="s">
        <v>38</v>
      </c>
      <c r="G468">
        <v>41774</v>
      </c>
      <c r="H468">
        <v>2</v>
      </c>
      <c r="I468">
        <v>6</v>
      </c>
      <c r="J468" t="s">
        <v>13</v>
      </c>
      <c r="K468" s="4">
        <f>Table1[[#This Row],[Sales]]*Table1[[#This Row],[Quantity]]</f>
        <v>83548</v>
      </c>
      <c r="L468" s="4">
        <f>Table1[[#This Row],[Revenue]]-(Table1[[#This Row],[Revenue]]*Table1[[#This Row],[Discount]]/100)</f>
        <v>78535.12</v>
      </c>
    </row>
    <row r="469" spans="1:12" x14ac:dyDescent="0.55000000000000004">
      <c r="A469" t="s">
        <v>498</v>
      </c>
      <c r="B469" s="2">
        <v>45139</v>
      </c>
      <c r="C469" t="s">
        <v>15</v>
      </c>
      <c r="D469" t="s">
        <v>16</v>
      </c>
      <c r="E469" t="s">
        <v>17</v>
      </c>
      <c r="F469" t="s">
        <v>34</v>
      </c>
      <c r="G469">
        <v>2322</v>
      </c>
      <c r="H469">
        <v>2</v>
      </c>
      <c r="I469">
        <v>20</v>
      </c>
      <c r="J469" t="s">
        <v>25</v>
      </c>
      <c r="K469" s="4">
        <f>Table1[[#This Row],[Sales]]*Table1[[#This Row],[Quantity]]</f>
        <v>4644</v>
      </c>
      <c r="L469" s="4">
        <f>Table1[[#This Row],[Revenue]]-(Table1[[#This Row],[Revenue]]*Table1[[#This Row],[Discount]]/100)</f>
        <v>3715.2</v>
      </c>
    </row>
    <row r="470" spans="1:12" x14ac:dyDescent="0.55000000000000004">
      <c r="A470" t="s">
        <v>499</v>
      </c>
      <c r="B470" s="2">
        <v>45148</v>
      </c>
      <c r="C470" t="s">
        <v>24</v>
      </c>
      <c r="D470" t="s">
        <v>27</v>
      </c>
      <c r="E470" t="s">
        <v>11</v>
      </c>
      <c r="F470" t="s">
        <v>12</v>
      </c>
      <c r="G470">
        <v>29101</v>
      </c>
      <c r="H470">
        <v>7</v>
      </c>
      <c r="I470">
        <v>24</v>
      </c>
      <c r="J470" t="s">
        <v>25</v>
      </c>
      <c r="K470" s="4">
        <f>Table1[[#This Row],[Sales]]*Table1[[#This Row],[Quantity]]</f>
        <v>203707</v>
      </c>
      <c r="L470" s="4">
        <f>Table1[[#This Row],[Revenue]]-(Table1[[#This Row],[Revenue]]*Table1[[#This Row],[Discount]]/100)</f>
        <v>154817.32</v>
      </c>
    </row>
    <row r="471" spans="1:12" x14ac:dyDescent="0.55000000000000004">
      <c r="A471" t="s">
        <v>500</v>
      </c>
      <c r="B471" s="2">
        <v>45236</v>
      </c>
      <c r="C471" t="s">
        <v>31</v>
      </c>
      <c r="D471" t="s">
        <v>27</v>
      </c>
      <c r="E471" t="s">
        <v>17</v>
      </c>
      <c r="F471" t="s">
        <v>48</v>
      </c>
      <c r="G471">
        <v>26440</v>
      </c>
      <c r="H471">
        <v>2</v>
      </c>
      <c r="I471">
        <v>10</v>
      </c>
      <c r="J471" t="s">
        <v>13</v>
      </c>
      <c r="K471" s="4">
        <f>Table1[[#This Row],[Sales]]*Table1[[#This Row],[Quantity]]</f>
        <v>52880</v>
      </c>
      <c r="L471" s="4">
        <f>Table1[[#This Row],[Revenue]]-(Table1[[#This Row],[Revenue]]*Table1[[#This Row],[Discount]]/100)</f>
        <v>47592</v>
      </c>
    </row>
    <row r="472" spans="1:12" x14ac:dyDescent="0.55000000000000004">
      <c r="A472" t="s">
        <v>501</v>
      </c>
      <c r="B472" s="2">
        <v>45178</v>
      </c>
      <c r="C472" t="s">
        <v>24</v>
      </c>
      <c r="D472" t="s">
        <v>16</v>
      </c>
      <c r="E472" t="s">
        <v>11</v>
      </c>
      <c r="F472" t="s">
        <v>44</v>
      </c>
      <c r="G472">
        <v>40388</v>
      </c>
      <c r="H472">
        <v>7</v>
      </c>
      <c r="I472">
        <v>15</v>
      </c>
      <c r="J472" t="s">
        <v>22</v>
      </c>
      <c r="K472" s="4">
        <f>Table1[[#This Row],[Sales]]*Table1[[#This Row],[Quantity]]</f>
        <v>282716</v>
      </c>
      <c r="L472" s="4">
        <f>Table1[[#This Row],[Revenue]]-(Table1[[#This Row],[Revenue]]*Table1[[#This Row],[Discount]]/100)</f>
        <v>240308.6</v>
      </c>
    </row>
    <row r="473" spans="1:12" x14ac:dyDescent="0.55000000000000004">
      <c r="A473" t="s">
        <v>502</v>
      </c>
      <c r="B473" s="2">
        <v>45147</v>
      </c>
      <c r="C473" t="s">
        <v>24</v>
      </c>
      <c r="D473" t="s">
        <v>20</v>
      </c>
      <c r="E473" t="s">
        <v>11</v>
      </c>
      <c r="F473" t="s">
        <v>34</v>
      </c>
      <c r="G473">
        <v>3748</v>
      </c>
      <c r="H473">
        <v>5</v>
      </c>
      <c r="I473">
        <v>21</v>
      </c>
      <c r="J473" t="s">
        <v>25</v>
      </c>
      <c r="K473" s="4">
        <f>Table1[[#This Row],[Sales]]*Table1[[#This Row],[Quantity]]</f>
        <v>18740</v>
      </c>
      <c r="L473" s="4">
        <f>Table1[[#This Row],[Revenue]]-(Table1[[#This Row],[Revenue]]*Table1[[#This Row],[Discount]]/100)</f>
        <v>14804.6</v>
      </c>
    </row>
    <row r="474" spans="1:12" x14ac:dyDescent="0.55000000000000004">
      <c r="A474" t="s">
        <v>503</v>
      </c>
      <c r="B474" s="2">
        <v>45124</v>
      </c>
      <c r="C474" t="s">
        <v>24</v>
      </c>
      <c r="D474" t="s">
        <v>20</v>
      </c>
      <c r="E474" t="s">
        <v>11</v>
      </c>
      <c r="F474" t="s">
        <v>44</v>
      </c>
      <c r="G474">
        <v>1352</v>
      </c>
      <c r="H474">
        <v>7</v>
      </c>
      <c r="I474">
        <v>11</v>
      </c>
      <c r="J474" t="s">
        <v>22</v>
      </c>
      <c r="K474" s="4">
        <f>Table1[[#This Row],[Sales]]*Table1[[#This Row],[Quantity]]</f>
        <v>9464</v>
      </c>
      <c r="L474" s="4">
        <f>Table1[[#This Row],[Revenue]]-(Table1[[#This Row],[Revenue]]*Table1[[#This Row],[Discount]]/100)</f>
        <v>8422.9599999999991</v>
      </c>
    </row>
    <row r="475" spans="1:12" x14ac:dyDescent="0.55000000000000004">
      <c r="A475" t="s">
        <v>504</v>
      </c>
      <c r="B475" s="2">
        <v>45221</v>
      </c>
      <c r="C475" t="s">
        <v>15</v>
      </c>
      <c r="D475" t="s">
        <v>16</v>
      </c>
      <c r="E475" t="s">
        <v>11</v>
      </c>
      <c r="F475" t="s">
        <v>29</v>
      </c>
      <c r="G475">
        <v>13969</v>
      </c>
      <c r="H475">
        <v>4</v>
      </c>
      <c r="I475">
        <v>1</v>
      </c>
      <c r="J475" t="s">
        <v>13</v>
      </c>
      <c r="K475" s="4">
        <f>Table1[[#This Row],[Sales]]*Table1[[#This Row],[Quantity]]</f>
        <v>55876</v>
      </c>
      <c r="L475" s="4">
        <f>Table1[[#This Row],[Revenue]]-(Table1[[#This Row],[Revenue]]*Table1[[#This Row],[Discount]]/100)</f>
        <v>55317.24</v>
      </c>
    </row>
    <row r="476" spans="1:12" x14ac:dyDescent="0.55000000000000004">
      <c r="A476" t="s">
        <v>505</v>
      </c>
      <c r="B476" s="2">
        <v>44988</v>
      </c>
      <c r="C476" t="s">
        <v>31</v>
      </c>
      <c r="D476" t="s">
        <v>20</v>
      </c>
      <c r="E476" t="s">
        <v>11</v>
      </c>
      <c r="F476" t="s">
        <v>44</v>
      </c>
      <c r="G476">
        <v>30094</v>
      </c>
      <c r="H476">
        <v>10</v>
      </c>
      <c r="I476">
        <v>25</v>
      </c>
      <c r="J476" t="s">
        <v>13</v>
      </c>
      <c r="K476" s="4">
        <f>Table1[[#This Row],[Sales]]*Table1[[#This Row],[Quantity]]</f>
        <v>300940</v>
      </c>
      <c r="L476" s="4">
        <f>Table1[[#This Row],[Revenue]]-(Table1[[#This Row],[Revenue]]*Table1[[#This Row],[Discount]]/100)</f>
        <v>225705</v>
      </c>
    </row>
    <row r="477" spans="1:12" x14ac:dyDescent="0.55000000000000004">
      <c r="A477" t="s">
        <v>506</v>
      </c>
      <c r="B477" s="2">
        <v>45206</v>
      </c>
      <c r="C477" t="s">
        <v>19</v>
      </c>
      <c r="D477" t="s">
        <v>27</v>
      </c>
      <c r="E477" t="s">
        <v>17</v>
      </c>
      <c r="F477" t="s">
        <v>12</v>
      </c>
      <c r="G477">
        <v>14887</v>
      </c>
      <c r="H477">
        <v>10</v>
      </c>
      <c r="I477">
        <v>0</v>
      </c>
      <c r="J477" t="s">
        <v>13</v>
      </c>
      <c r="K477" s="4">
        <f>Table1[[#This Row],[Sales]]*Table1[[#This Row],[Quantity]]</f>
        <v>148870</v>
      </c>
      <c r="L477" s="4">
        <f>Table1[[#This Row],[Revenue]]-(Table1[[#This Row],[Revenue]]*Table1[[#This Row],[Discount]]/100)</f>
        <v>148870</v>
      </c>
    </row>
    <row r="478" spans="1:12" x14ac:dyDescent="0.55000000000000004">
      <c r="A478" t="s">
        <v>507</v>
      </c>
      <c r="B478" s="2">
        <v>45030</v>
      </c>
      <c r="C478" t="s">
        <v>19</v>
      </c>
      <c r="D478" t="s">
        <v>27</v>
      </c>
      <c r="E478" t="s">
        <v>17</v>
      </c>
      <c r="F478" t="s">
        <v>38</v>
      </c>
      <c r="G478">
        <v>45902</v>
      </c>
      <c r="H478">
        <v>9</v>
      </c>
      <c r="I478">
        <v>7</v>
      </c>
      <c r="J478" t="s">
        <v>13</v>
      </c>
      <c r="K478" s="4">
        <f>Table1[[#This Row],[Sales]]*Table1[[#This Row],[Quantity]]</f>
        <v>413118</v>
      </c>
      <c r="L478" s="4">
        <f>Table1[[#This Row],[Revenue]]-(Table1[[#This Row],[Revenue]]*Table1[[#This Row],[Discount]]/100)</f>
        <v>384199.74</v>
      </c>
    </row>
    <row r="479" spans="1:12" x14ac:dyDescent="0.55000000000000004">
      <c r="A479" t="s">
        <v>508</v>
      </c>
      <c r="B479" s="2">
        <v>44946</v>
      </c>
      <c r="C479" t="s">
        <v>19</v>
      </c>
      <c r="D479" t="s">
        <v>16</v>
      </c>
      <c r="E479" t="s">
        <v>11</v>
      </c>
      <c r="F479" t="s">
        <v>38</v>
      </c>
      <c r="G479">
        <v>5377</v>
      </c>
      <c r="H479">
        <v>3</v>
      </c>
      <c r="I479">
        <v>8</v>
      </c>
      <c r="J479" t="s">
        <v>13</v>
      </c>
      <c r="K479" s="4">
        <f>Table1[[#This Row],[Sales]]*Table1[[#This Row],[Quantity]]</f>
        <v>16131</v>
      </c>
      <c r="L479" s="4">
        <f>Table1[[#This Row],[Revenue]]-(Table1[[#This Row],[Revenue]]*Table1[[#This Row],[Discount]]/100)</f>
        <v>14840.52</v>
      </c>
    </row>
    <row r="480" spans="1:12" x14ac:dyDescent="0.55000000000000004">
      <c r="A480" t="s">
        <v>509</v>
      </c>
      <c r="B480" s="2">
        <v>44931</v>
      </c>
      <c r="C480" t="s">
        <v>24</v>
      </c>
      <c r="D480" t="s">
        <v>37</v>
      </c>
      <c r="E480" t="s">
        <v>11</v>
      </c>
      <c r="F480" t="s">
        <v>34</v>
      </c>
      <c r="G480">
        <v>20261</v>
      </c>
      <c r="H480">
        <v>4</v>
      </c>
      <c r="I480">
        <v>23</v>
      </c>
      <c r="J480" t="s">
        <v>22</v>
      </c>
      <c r="K480" s="4">
        <f>Table1[[#This Row],[Sales]]*Table1[[#This Row],[Quantity]]</f>
        <v>81044</v>
      </c>
      <c r="L480" s="4">
        <f>Table1[[#This Row],[Revenue]]-(Table1[[#This Row],[Revenue]]*Table1[[#This Row],[Discount]]/100)</f>
        <v>62403.880000000005</v>
      </c>
    </row>
    <row r="481" spans="1:12" x14ac:dyDescent="0.55000000000000004">
      <c r="A481" t="s">
        <v>510</v>
      </c>
      <c r="B481" s="2">
        <v>45231</v>
      </c>
      <c r="C481" t="s">
        <v>24</v>
      </c>
      <c r="D481" t="s">
        <v>27</v>
      </c>
      <c r="E481" t="s">
        <v>11</v>
      </c>
      <c r="F481" t="s">
        <v>34</v>
      </c>
      <c r="G481">
        <v>2646</v>
      </c>
      <c r="H481">
        <v>1</v>
      </c>
      <c r="I481">
        <v>19</v>
      </c>
      <c r="J481" t="s">
        <v>22</v>
      </c>
      <c r="K481" s="4">
        <f>Table1[[#This Row],[Sales]]*Table1[[#This Row],[Quantity]]</f>
        <v>2646</v>
      </c>
      <c r="L481" s="4">
        <f>Table1[[#This Row],[Revenue]]-(Table1[[#This Row],[Revenue]]*Table1[[#This Row],[Discount]]/100)</f>
        <v>2143.2600000000002</v>
      </c>
    </row>
    <row r="482" spans="1:12" x14ac:dyDescent="0.55000000000000004">
      <c r="A482" t="s">
        <v>511</v>
      </c>
      <c r="B482" s="2">
        <v>45093</v>
      </c>
      <c r="C482" t="s">
        <v>31</v>
      </c>
      <c r="D482" t="s">
        <v>16</v>
      </c>
      <c r="E482" t="s">
        <v>17</v>
      </c>
      <c r="F482" t="s">
        <v>12</v>
      </c>
      <c r="G482">
        <v>12542</v>
      </c>
      <c r="H482">
        <v>3</v>
      </c>
      <c r="I482">
        <v>23</v>
      </c>
      <c r="J482" t="s">
        <v>25</v>
      </c>
      <c r="K482" s="4">
        <f>Table1[[#This Row],[Sales]]*Table1[[#This Row],[Quantity]]</f>
        <v>37626</v>
      </c>
      <c r="L482" s="4">
        <f>Table1[[#This Row],[Revenue]]-(Table1[[#This Row],[Revenue]]*Table1[[#This Row],[Discount]]/100)</f>
        <v>28972.02</v>
      </c>
    </row>
    <row r="483" spans="1:12" x14ac:dyDescent="0.55000000000000004">
      <c r="A483" t="s">
        <v>512</v>
      </c>
      <c r="B483" s="2">
        <v>45018</v>
      </c>
      <c r="C483" t="s">
        <v>19</v>
      </c>
      <c r="D483" t="s">
        <v>20</v>
      </c>
      <c r="E483" t="s">
        <v>17</v>
      </c>
      <c r="F483" t="s">
        <v>44</v>
      </c>
      <c r="G483">
        <v>14430</v>
      </c>
      <c r="H483">
        <v>1</v>
      </c>
      <c r="I483">
        <v>0</v>
      </c>
      <c r="J483" t="s">
        <v>25</v>
      </c>
      <c r="K483" s="4">
        <f>Table1[[#This Row],[Sales]]*Table1[[#This Row],[Quantity]]</f>
        <v>14430</v>
      </c>
      <c r="L483" s="4">
        <f>Table1[[#This Row],[Revenue]]-(Table1[[#This Row],[Revenue]]*Table1[[#This Row],[Discount]]/100)</f>
        <v>14430</v>
      </c>
    </row>
    <row r="484" spans="1:12" x14ac:dyDescent="0.55000000000000004">
      <c r="A484" t="s">
        <v>513</v>
      </c>
      <c r="B484" s="2">
        <v>45036</v>
      </c>
      <c r="C484" t="s">
        <v>24</v>
      </c>
      <c r="D484" t="s">
        <v>27</v>
      </c>
      <c r="E484" t="s">
        <v>11</v>
      </c>
      <c r="F484" t="s">
        <v>34</v>
      </c>
      <c r="G484">
        <v>39072</v>
      </c>
      <c r="H484">
        <v>2</v>
      </c>
      <c r="I484">
        <v>25</v>
      </c>
      <c r="J484" t="s">
        <v>22</v>
      </c>
      <c r="K484" s="4">
        <f>Table1[[#This Row],[Sales]]*Table1[[#This Row],[Quantity]]</f>
        <v>78144</v>
      </c>
      <c r="L484" s="4">
        <f>Table1[[#This Row],[Revenue]]-(Table1[[#This Row],[Revenue]]*Table1[[#This Row],[Discount]]/100)</f>
        <v>58608</v>
      </c>
    </row>
    <row r="485" spans="1:12" x14ac:dyDescent="0.55000000000000004">
      <c r="A485" t="s">
        <v>514</v>
      </c>
      <c r="B485" s="2">
        <v>45224</v>
      </c>
      <c r="C485" t="s">
        <v>24</v>
      </c>
      <c r="D485" t="s">
        <v>27</v>
      </c>
      <c r="E485" t="s">
        <v>11</v>
      </c>
      <c r="F485" t="s">
        <v>12</v>
      </c>
      <c r="G485">
        <v>42700</v>
      </c>
      <c r="H485">
        <v>10</v>
      </c>
      <c r="I485">
        <v>29</v>
      </c>
      <c r="J485" t="s">
        <v>22</v>
      </c>
      <c r="K485" s="4">
        <f>Table1[[#This Row],[Sales]]*Table1[[#This Row],[Quantity]]</f>
        <v>427000</v>
      </c>
      <c r="L485" s="4">
        <f>Table1[[#This Row],[Revenue]]-(Table1[[#This Row],[Revenue]]*Table1[[#This Row],[Discount]]/100)</f>
        <v>303170</v>
      </c>
    </row>
    <row r="486" spans="1:12" x14ac:dyDescent="0.55000000000000004">
      <c r="A486" t="s">
        <v>515</v>
      </c>
      <c r="B486" s="2">
        <v>45163</v>
      </c>
      <c r="C486" t="s">
        <v>31</v>
      </c>
      <c r="D486" t="s">
        <v>27</v>
      </c>
      <c r="E486" t="s">
        <v>17</v>
      </c>
      <c r="F486" t="s">
        <v>12</v>
      </c>
      <c r="G486">
        <v>15657</v>
      </c>
      <c r="H486">
        <v>4</v>
      </c>
      <c r="I486">
        <v>19</v>
      </c>
      <c r="J486" t="s">
        <v>13</v>
      </c>
      <c r="K486" s="4">
        <f>Table1[[#This Row],[Sales]]*Table1[[#This Row],[Quantity]]</f>
        <v>62628</v>
      </c>
      <c r="L486" s="4">
        <f>Table1[[#This Row],[Revenue]]-(Table1[[#This Row],[Revenue]]*Table1[[#This Row],[Discount]]/100)</f>
        <v>50728.68</v>
      </c>
    </row>
    <row r="487" spans="1:12" x14ac:dyDescent="0.55000000000000004">
      <c r="A487" t="s">
        <v>516</v>
      </c>
      <c r="B487" s="2">
        <v>45276</v>
      </c>
      <c r="C487" t="s">
        <v>19</v>
      </c>
      <c r="D487" t="s">
        <v>20</v>
      </c>
      <c r="E487" t="s">
        <v>17</v>
      </c>
      <c r="F487" t="s">
        <v>38</v>
      </c>
      <c r="G487">
        <v>44075</v>
      </c>
      <c r="H487">
        <v>10</v>
      </c>
      <c r="I487">
        <v>3</v>
      </c>
      <c r="J487" t="s">
        <v>13</v>
      </c>
      <c r="K487" s="4">
        <f>Table1[[#This Row],[Sales]]*Table1[[#This Row],[Quantity]]</f>
        <v>440750</v>
      </c>
      <c r="L487" s="4">
        <f>Table1[[#This Row],[Revenue]]-(Table1[[#This Row],[Revenue]]*Table1[[#This Row],[Discount]]/100)</f>
        <v>427527.5</v>
      </c>
    </row>
    <row r="488" spans="1:12" x14ac:dyDescent="0.55000000000000004">
      <c r="A488" t="s">
        <v>517</v>
      </c>
      <c r="B488" s="2">
        <v>44955</v>
      </c>
      <c r="C488" t="s">
        <v>15</v>
      </c>
      <c r="D488" t="s">
        <v>16</v>
      </c>
      <c r="E488" t="s">
        <v>17</v>
      </c>
      <c r="F488" t="s">
        <v>12</v>
      </c>
      <c r="G488">
        <v>13798</v>
      </c>
      <c r="H488">
        <v>8</v>
      </c>
      <c r="I488">
        <v>20</v>
      </c>
      <c r="J488" t="s">
        <v>22</v>
      </c>
      <c r="K488" s="4">
        <f>Table1[[#This Row],[Sales]]*Table1[[#This Row],[Quantity]]</f>
        <v>110384</v>
      </c>
      <c r="L488" s="4">
        <f>Table1[[#This Row],[Revenue]]-(Table1[[#This Row],[Revenue]]*Table1[[#This Row],[Discount]]/100)</f>
        <v>88307.199999999997</v>
      </c>
    </row>
    <row r="489" spans="1:12" x14ac:dyDescent="0.55000000000000004">
      <c r="A489" t="s">
        <v>518</v>
      </c>
      <c r="B489" s="2">
        <v>45237</v>
      </c>
      <c r="C489" t="s">
        <v>15</v>
      </c>
      <c r="D489" t="s">
        <v>27</v>
      </c>
      <c r="E489" t="s">
        <v>11</v>
      </c>
      <c r="F489" t="s">
        <v>12</v>
      </c>
      <c r="G489">
        <v>175</v>
      </c>
      <c r="H489">
        <v>4</v>
      </c>
      <c r="I489">
        <v>27</v>
      </c>
      <c r="J489" t="s">
        <v>13</v>
      </c>
      <c r="K489" s="4">
        <f>Table1[[#This Row],[Sales]]*Table1[[#This Row],[Quantity]]</f>
        <v>700</v>
      </c>
      <c r="L489" s="4">
        <f>Table1[[#This Row],[Revenue]]-(Table1[[#This Row],[Revenue]]*Table1[[#This Row],[Discount]]/100)</f>
        <v>511</v>
      </c>
    </row>
    <row r="490" spans="1:12" x14ac:dyDescent="0.55000000000000004">
      <c r="A490" t="s">
        <v>519</v>
      </c>
      <c r="B490" s="2">
        <v>44988</v>
      </c>
      <c r="C490" t="s">
        <v>31</v>
      </c>
      <c r="D490" t="s">
        <v>37</v>
      </c>
      <c r="E490" t="s">
        <v>17</v>
      </c>
      <c r="F490" t="s">
        <v>38</v>
      </c>
      <c r="G490">
        <v>25108</v>
      </c>
      <c r="H490">
        <v>9</v>
      </c>
      <c r="I490">
        <v>7</v>
      </c>
      <c r="J490" t="s">
        <v>13</v>
      </c>
      <c r="K490" s="4">
        <f>Table1[[#This Row],[Sales]]*Table1[[#This Row],[Quantity]]</f>
        <v>225972</v>
      </c>
      <c r="L490" s="4">
        <f>Table1[[#This Row],[Revenue]]-(Table1[[#This Row],[Revenue]]*Table1[[#This Row],[Discount]]/100)</f>
        <v>210153.96</v>
      </c>
    </row>
    <row r="491" spans="1:12" x14ac:dyDescent="0.55000000000000004">
      <c r="A491" t="s">
        <v>520</v>
      </c>
      <c r="B491" s="2">
        <v>44936</v>
      </c>
      <c r="C491" t="s">
        <v>19</v>
      </c>
      <c r="D491" t="s">
        <v>46</v>
      </c>
      <c r="E491" t="s">
        <v>11</v>
      </c>
      <c r="F491" t="s">
        <v>12</v>
      </c>
      <c r="G491">
        <v>44573</v>
      </c>
      <c r="H491">
        <v>10</v>
      </c>
      <c r="I491">
        <v>19</v>
      </c>
      <c r="J491" t="s">
        <v>22</v>
      </c>
      <c r="K491" s="4">
        <f>Table1[[#This Row],[Sales]]*Table1[[#This Row],[Quantity]]</f>
        <v>445730</v>
      </c>
      <c r="L491" s="4">
        <f>Table1[[#This Row],[Revenue]]-(Table1[[#This Row],[Revenue]]*Table1[[#This Row],[Discount]]/100)</f>
        <v>361041.3</v>
      </c>
    </row>
    <row r="492" spans="1:12" x14ac:dyDescent="0.55000000000000004">
      <c r="A492" t="s">
        <v>521</v>
      </c>
      <c r="B492" s="2">
        <v>45031</v>
      </c>
      <c r="C492" t="s">
        <v>31</v>
      </c>
      <c r="D492" t="s">
        <v>20</v>
      </c>
      <c r="E492" t="s">
        <v>11</v>
      </c>
      <c r="F492" t="s">
        <v>12</v>
      </c>
      <c r="G492">
        <v>7079</v>
      </c>
      <c r="H492">
        <v>4</v>
      </c>
      <c r="I492">
        <v>2</v>
      </c>
      <c r="J492" t="s">
        <v>13</v>
      </c>
      <c r="K492" s="4">
        <f>Table1[[#This Row],[Sales]]*Table1[[#This Row],[Quantity]]</f>
        <v>28316</v>
      </c>
      <c r="L492" s="4">
        <f>Table1[[#This Row],[Revenue]]-(Table1[[#This Row],[Revenue]]*Table1[[#This Row],[Discount]]/100)</f>
        <v>27749.68</v>
      </c>
    </row>
    <row r="493" spans="1:12" x14ac:dyDescent="0.55000000000000004">
      <c r="A493" t="s">
        <v>522</v>
      </c>
      <c r="B493" s="2">
        <v>44934</v>
      </c>
      <c r="C493" t="s">
        <v>15</v>
      </c>
      <c r="D493" t="s">
        <v>16</v>
      </c>
      <c r="E493" t="s">
        <v>11</v>
      </c>
      <c r="F493" t="s">
        <v>12</v>
      </c>
      <c r="G493">
        <v>41691</v>
      </c>
      <c r="H493">
        <v>8</v>
      </c>
      <c r="I493">
        <v>7</v>
      </c>
      <c r="J493" t="s">
        <v>13</v>
      </c>
      <c r="K493" s="4">
        <f>Table1[[#This Row],[Sales]]*Table1[[#This Row],[Quantity]]</f>
        <v>333528</v>
      </c>
      <c r="L493" s="4">
        <f>Table1[[#This Row],[Revenue]]-(Table1[[#This Row],[Revenue]]*Table1[[#This Row],[Discount]]/100)</f>
        <v>310181.03999999998</v>
      </c>
    </row>
    <row r="494" spans="1:12" x14ac:dyDescent="0.55000000000000004">
      <c r="A494" t="s">
        <v>523</v>
      </c>
      <c r="B494" s="2">
        <v>45048</v>
      </c>
      <c r="C494" t="s">
        <v>15</v>
      </c>
      <c r="D494" t="s">
        <v>27</v>
      </c>
      <c r="E494" t="s">
        <v>11</v>
      </c>
      <c r="F494" t="s">
        <v>34</v>
      </c>
      <c r="G494">
        <v>21836</v>
      </c>
      <c r="H494">
        <v>4</v>
      </c>
      <c r="I494">
        <v>17</v>
      </c>
      <c r="J494" t="s">
        <v>25</v>
      </c>
      <c r="K494" s="4">
        <f>Table1[[#This Row],[Sales]]*Table1[[#This Row],[Quantity]]</f>
        <v>87344</v>
      </c>
      <c r="L494" s="4">
        <f>Table1[[#This Row],[Revenue]]-(Table1[[#This Row],[Revenue]]*Table1[[#This Row],[Discount]]/100)</f>
        <v>72495.520000000004</v>
      </c>
    </row>
    <row r="495" spans="1:12" x14ac:dyDescent="0.55000000000000004">
      <c r="A495" t="s">
        <v>524</v>
      </c>
      <c r="B495" s="2">
        <v>44935</v>
      </c>
      <c r="C495" t="s">
        <v>24</v>
      </c>
      <c r="D495" t="s">
        <v>46</v>
      </c>
      <c r="E495" t="s">
        <v>17</v>
      </c>
      <c r="F495" t="s">
        <v>44</v>
      </c>
      <c r="G495">
        <v>7680</v>
      </c>
      <c r="H495">
        <v>7</v>
      </c>
      <c r="I495">
        <v>10</v>
      </c>
      <c r="J495" t="s">
        <v>25</v>
      </c>
      <c r="K495" s="4">
        <f>Table1[[#This Row],[Sales]]*Table1[[#This Row],[Quantity]]</f>
        <v>53760</v>
      </c>
      <c r="L495" s="4">
        <f>Table1[[#This Row],[Revenue]]-(Table1[[#This Row],[Revenue]]*Table1[[#This Row],[Discount]]/100)</f>
        <v>48384</v>
      </c>
    </row>
    <row r="496" spans="1:12" x14ac:dyDescent="0.55000000000000004">
      <c r="A496" t="s">
        <v>525</v>
      </c>
      <c r="B496" s="2">
        <v>45039</v>
      </c>
      <c r="C496" t="s">
        <v>31</v>
      </c>
      <c r="D496" t="s">
        <v>16</v>
      </c>
      <c r="E496" t="s">
        <v>17</v>
      </c>
      <c r="F496" t="s">
        <v>21</v>
      </c>
      <c r="G496">
        <v>2297</v>
      </c>
      <c r="H496">
        <v>3</v>
      </c>
      <c r="I496">
        <v>15</v>
      </c>
      <c r="J496" t="s">
        <v>13</v>
      </c>
      <c r="K496" s="4">
        <f>Table1[[#This Row],[Sales]]*Table1[[#This Row],[Quantity]]</f>
        <v>6891</v>
      </c>
      <c r="L496" s="4">
        <f>Table1[[#This Row],[Revenue]]-(Table1[[#This Row],[Revenue]]*Table1[[#This Row],[Discount]]/100)</f>
        <v>5857.35</v>
      </c>
    </row>
    <row r="497" spans="1:12" x14ac:dyDescent="0.55000000000000004">
      <c r="A497" t="s">
        <v>526</v>
      </c>
      <c r="B497" s="2">
        <v>45054</v>
      </c>
      <c r="C497" t="s">
        <v>19</v>
      </c>
      <c r="D497" t="s">
        <v>46</v>
      </c>
      <c r="E497" t="s">
        <v>17</v>
      </c>
      <c r="F497" t="s">
        <v>38</v>
      </c>
      <c r="G497">
        <v>44114</v>
      </c>
      <c r="H497">
        <v>4</v>
      </c>
      <c r="I497">
        <v>28</v>
      </c>
      <c r="J497" t="s">
        <v>13</v>
      </c>
      <c r="K497" s="4">
        <f>Table1[[#This Row],[Sales]]*Table1[[#This Row],[Quantity]]</f>
        <v>176456</v>
      </c>
      <c r="L497" s="4">
        <f>Table1[[#This Row],[Revenue]]-(Table1[[#This Row],[Revenue]]*Table1[[#This Row],[Discount]]/100)</f>
        <v>127048.32000000001</v>
      </c>
    </row>
    <row r="498" spans="1:12" x14ac:dyDescent="0.55000000000000004">
      <c r="A498" t="s">
        <v>527</v>
      </c>
      <c r="B498" s="2">
        <v>45274</v>
      </c>
      <c r="C498" t="s">
        <v>24</v>
      </c>
      <c r="D498" t="s">
        <v>37</v>
      </c>
      <c r="E498" t="s">
        <v>17</v>
      </c>
      <c r="F498" t="s">
        <v>38</v>
      </c>
      <c r="G498">
        <v>28542</v>
      </c>
      <c r="H498">
        <v>6</v>
      </c>
      <c r="I498">
        <v>17</v>
      </c>
      <c r="J498" t="s">
        <v>25</v>
      </c>
      <c r="K498" s="4">
        <f>Table1[[#This Row],[Sales]]*Table1[[#This Row],[Quantity]]</f>
        <v>171252</v>
      </c>
      <c r="L498" s="4">
        <f>Table1[[#This Row],[Revenue]]-(Table1[[#This Row],[Revenue]]*Table1[[#This Row],[Discount]]/100)</f>
        <v>142139.16</v>
      </c>
    </row>
    <row r="499" spans="1:12" x14ac:dyDescent="0.55000000000000004">
      <c r="A499" t="s">
        <v>528</v>
      </c>
      <c r="B499" s="2">
        <v>44949</v>
      </c>
      <c r="C499" t="s">
        <v>15</v>
      </c>
      <c r="D499" t="s">
        <v>20</v>
      </c>
      <c r="E499" t="s">
        <v>11</v>
      </c>
      <c r="F499" t="s">
        <v>29</v>
      </c>
      <c r="G499">
        <v>39621</v>
      </c>
      <c r="H499">
        <v>7</v>
      </c>
      <c r="I499">
        <v>9</v>
      </c>
      <c r="J499" t="s">
        <v>13</v>
      </c>
      <c r="K499" s="4">
        <f>Table1[[#This Row],[Sales]]*Table1[[#This Row],[Quantity]]</f>
        <v>277347</v>
      </c>
      <c r="L499" s="4">
        <f>Table1[[#This Row],[Revenue]]-(Table1[[#This Row],[Revenue]]*Table1[[#This Row],[Discount]]/100)</f>
        <v>252385.77</v>
      </c>
    </row>
    <row r="500" spans="1:12" x14ac:dyDescent="0.55000000000000004">
      <c r="A500" t="s">
        <v>529</v>
      </c>
      <c r="B500" s="2">
        <v>45047</v>
      </c>
      <c r="C500" t="s">
        <v>24</v>
      </c>
      <c r="D500" t="s">
        <v>27</v>
      </c>
      <c r="E500" t="s">
        <v>17</v>
      </c>
      <c r="F500" t="s">
        <v>44</v>
      </c>
      <c r="G500">
        <v>6798</v>
      </c>
      <c r="H500">
        <v>8</v>
      </c>
      <c r="I500">
        <v>27</v>
      </c>
      <c r="J500" t="s">
        <v>22</v>
      </c>
      <c r="K500" s="4">
        <f>Table1[[#This Row],[Sales]]*Table1[[#This Row],[Quantity]]</f>
        <v>54384</v>
      </c>
      <c r="L500" s="4">
        <f>Table1[[#This Row],[Revenue]]-(Table1[[#This Row],[Revenue]]*Table1[[#This Row],[Discount]]/100)</f>
        <v>39700.32</v>
      </c>
    </row>
    <row r="501" spans="1:12" x14ac:dyDescent="0.55000000000000004">
      <c r="A501" t="s">
        <v>530</v>
      </c>
      <c r="B501" s="2">
        <v>45081</v>
      </c>
      <c r="C501" t="s">
        <v>24</v>
      </c>
      <c r="D501" t="s">
        <v>27</v>
      </c>
      <c r="E501" t="s">
        <v>11</v>
      </c>
      <c r="F501" t="s">
        <v>34</v>
      </c>
      <c r="G501">
        <v>482</v>
      </c>
      <c r="H501">
        <v>9</v>
      </c>
      <c r="I501">
        <v>7</v>
      </c>
      <c r="J501" t="s">
        <v>13</v>
      </c>
      <c r="K501" s="4">
        <f>Table1[[#This Row],[Sales]]*Table1[[#This Row],[Quantity]]</f>
        <v>4338</v>
      </c>
      <c r="L501" s="4">
        <f>Table1[[#This Row],[Revenue]]-(Table1[[#This Row],[Revenue]]*Table1[[#This Row],[Discount]]/100)</f>
        <v>4034.34</v>
      </c>
    </row>
    <row r="502" spans="1:12" x14ac:dyDescent="0.55000000000000004">
      <c r="A502" t="s">
        <v>531</v>
      </c>
      <c r="B502" s="2">
        <v>45051</v>
      </c>
      <c r="C502" t="s">
        <v>31</v>
      </c>
      <c r="D502" t="s">
        <v>37</v>
      </c>
      <c r="E502" t="s">
        <v>11</v>
      </c>
      <c r="F502" t="s">
        <v>21</v>
      </c>
      <c r="G502">
        <v>28967</v>
      </c>
      <c r="H502">
        <v>6</v>
      </c>
      <c r="I502">
        <v>30</v>
      </c>
      <c r="J502" t="s">
        <v>25</v>
      </c>
      <c r="K502" s="4">
        <f>Table1[[#This Row],[Sales]]*Table1[[#This Row],[Quantity]]</f>
        <v>173802</v>
      </c>
      <c r="L502" s="4">
        <f>Table1[[#This Row],[Revenue]]-(Table1[[#This Row],[Revenue]]*Table1[[#This Row],[Discount]]/100)</f>
        <v>121661.4</v>
      </c>
    </row>
    <row r="503" spans="1:12" x14ac:dyDescent="0.55000000000000004">
      <c r="A503" t="s">
        <v>532</v>
      </c>
      <c r="B503" s="2">
        <v>45058</v>
      </c>
      <c r="C503" t="s">
        <v>24</v>
      </c>
      <c r="D503" t="s">
        <v>20</v>
      </c>
      <c r="E503" t="s">
        <v>11</v>
      </c>
      <c r="F503" t="s">
        <v>44</v>
      </c>
      <c r="G503">
        <v>8802</v>
      </c>
      <c r="H503">
        <v>2</v>
      </c>
      <c r="I503">
        <v>29</v>
      </c>
      <c r="J503" t="s">
        <v>22</v>
      </c>
      <c r="K503" s="4">
        <f>Table1[[#This Row],[Sales]]*Table1[[#This Row],[Quantity]]</f>
        <v>17604</v>
      </c>
      <c r="L503" s="4">
        <f>Table1[[#This Row],[Revenue]]-(Table1[[#This Row],[Revenue]]*Table1[[#This Row],[Discount]]/100)</f>
        <v>12498.84</v>
      </c>
    </row>
    <row r="504" spans="1:12" x14ac:dyDescent="0.55000000000000004">
      <c r="A504" t="s">
        <v>533</v>
      </c>
      <c r="B504" s="2">
        <v>45198</v>
      </c>
      <c r="C504" t="s">
        <v>19</v>
      </c>
      <c r="D504" t="s">
        <v>37</v>
      </c>
      <c r="E504" t="s">
        <v>11</v>
      </c>
      <c r="F504" t="s">
        <v>29</v>
      </c>
      <c r="G504">
        <v>37067</v>
      </c>
      <c r="H504">
        <v>6</v>
      </c>
      <c r="I504">
        <v>4</v>
      </c>
      <c r="J504" t="s">
        <v>22</v>
      </c>
      <c r="K504" s="4">
        <f>Table1[[#This Row],[Sales]]*Table1[[#This Row],[Quantity]]</f>
        <v>222402</v>
      </c>
      <c r="L504" s="4">
        <f>Table1[[#This Row],[Revenue]]-(Table1[[#This Row],[Revenue]]*Table1[[#This Row],[Discount]]/100)</f>
        <v>213505.92000000001</v>
      </c>
    </row>
    <row r="505" spans="1:12" x14ac:dyDescent="0.55000000000000004">
      <c r="A505" t="s">
        <v>534</v>
      </c>
      <c r="B505" s="2">
        <v>45076</v>
      </c>
      <c r="C505" t="s">
        <v>15</v>
      </c>
      <c r="D505" t="s">
        <v>20</v>
      </c>
      <c r="E505" t="s">
        <v>11</v>
      </c>
      <c r="F505" t="s">
        <v>29</v>
      </c>
      <c r="G505">
        <v>36997</v>
      </c>
      <c r="H505">
        <v>9</v>
      </c>
      <c r="I505">
        <v>3</v>
      </c>
      <c r="J505" t="s">
        <v>13</v>
      </c>
      <c r="K505" s="4">
        <f>Table1[[#This Row],[Sales]]*Table1[[#This Row],[Quantity]]</f>
        <v>332973</v>
      </c>
      <c r="L505" s="4">
        <f>Table1[[#This Row],[Revenue]]-(Table1[[#This Row],[Revenue]]*Table1[[#This Row],[Discount]]/100)</f>
        <v>322983.81</v>
      </c>
    </row>
    <row r="506" spans="1:12" x14ac:dyDescent="0.55000000000000004">
      <c r="A506" t="s">
        <v>535</v>
      </c>
      <c r="B506" s="2">
        <v>45200</v>
      </c>
      <c r="C506" t="s">
        <v>31</v>
      </c>
      <c r="D506" t="s">
        <v>27</v>
      </c>
      <c r="E506" t="s">
        <v>17</v>
      </c>
      <c r="F506" t="s">
        <v>48</v>
      </c>
      <c r="G506">
        <v>38940</v>
      </c>
      <c r="H506">
        <v>5</v>
      </c>
      <c r="I506">
        <v>19</v>
      </c>
      <c r="J506" t="s">
        <v>22</v>
      </c>
      <c r="K506" s="4">
        <f>Table1[[#This Row],[Sales]]*Table1[[#This Row],[Quantity]]</f>
        <v>194700</v>
      </c>
      <c r="L506" s="4">
        <f>Table1[[#This Row],[Revenue]]-(Table1[[#This Row],[Revenue]]*Table1[[#This Row],[Discount]]/100)</f>
        <v>157707</v>
      </c>
    </row>
    <row r="507" spans="1:12" x14ac:dyDescent="0.55000000000000004">
      <c r="A507" t="s">
        <v>536</v>
      </c>
      <c r="B507" s="2">
        <v>45076</v>
      </c>
      <c r="C507" t="s">
        <v>24</v>
      </c>
      <c r="D507" t="s">
        <v>16</v>
      </c>
      <c r="E507" t="s">
        <v>11</v>
      </c>
      <c r="F507" t="s">
        <v>21</v>
      </c>
      <c r="G507">
        <v>26482</v>
      </c>
      <c r="H507">
        <v>9</v>
      </c>
      <c r="I507">
        <v>3</v>
      </c>
      <c r="J507" t="s">
        <v>13</v>
      </c>
      <c r="K507" s="4">
        <f>Table1[[#This Row],[Sales]]*Table1[[#This Row],[Quantity]]</f>
        <v>238338</v>
      </c>
      <c r="L507" s="4">
        <f>Table1[[#This Row],[Revenue]]-(Table1[[#This Row],[Revenue]]*Table1[[#This Row],[Discount]]/100)</f>
        <v>231187.86</v>
      </c>
    </row>
    <row r="508" spans="1:12" x14ac:dyDescent="0.55000000000000004">
      <c r="A508" t="s">
        <v>537</v>
      </c>
      <c r="B508" s="2">
        <v>45221</v>
      </c>
      <c r="C508" t="s">
        <v>15</v>
      </c>
      <c r="D508" t="s">
        <v>20</v>
      </c>
      <c r="E508" t="s">
        <v>11</v>
      </c>
      <c r="F508" t="s">
        <v>29</v>
      </c>
      <c r="G508">
        <v>12345</v>
      </c>
      <c r="H508">
        <v>7</v>
      </c>
      <c r="I508">
        <v>1</v>
      </c>
      <c r="J508" t="s">
        <v>22</v>
      </c>
      <c r="K508" s="4">
        <f>Table1[[#This Row],[Sales]]*Table1[[#This Row],[Quantity]]</f>
        <v>86415</v>
      </c>
      <c r="L508" s="4">
        <f>Table1[[#This Row],[Revenue]]-(Table1[[#This Row],[Revenue]]*Table1[[#This Row],[Discount]]/100)</f>
        <v>85550.85</v>
      </c>
    </row>
    <row r="509" spans="1:12" x14ac:dyDescent="0.55000000000000004">
      <c r="A509" t="s">
        <v>538</v>
      </c>
      <c r="B509" s="2">
        <v>45022</v>
      </c>
      <c r="C509" t="s">
        <v>19</v>
      </c>
      <c r="D509" t="s">
        <v>20</v>
      </c>
      <c r="E509" t="s">
        <v>11</v>
      </c>
      <c r="F509" t="s">
        <v>48</v>
      </c>
      <c r="G509">
        <v>42623</v>
      </c>
      <c r="H509">
        <v>9</v>
      </c>
      <c r="I509">
        <v>12</v>
      </c>
      <c r="J509" t="s">
        <v>22</v>
      </c>
      <c r="K509" s="4">
        <f>Table1[[#This Row],[Sales]]*Table1[[#This Row],[Quantity]]</f>
        <v>383607</v>
      </c>
      <c r="L509" s="4">
        <f>Table1[[#This Row],[Revenue]]-(Table1[[#This Row],[Revenue]]*Table1[[#This Row],[Discount]]/100)</f>
        <v>337574.16000000003</v>
      </c>
    </row>
    <row r="510" spans="1:12" x14ac:dyDescent="0.55000000000000004">
      <c r="A510" t="s">
        <v>539</v>
      </c>
      <c r="B510" s="2">
        <v>45092</v>
      </c>
      <c r="C510" t="s">
        <v>19</v>
      </c>
      <c r="D510" t="s">
        <v>20</v>
      </c>
      <c r="E510" t="s">
        <v>11</v>
      </c>
      <c r="F510" t="s">
        <v>29</v>
      </c>
      <c r="G510">
        <v>18529</v>
      </c>
      <c r="H510">
        <v>5</v>
      </c>
      <c r="I510">
        <v>14</v>
      </c>
      <c r="J510" t="s">
        <v>13</v>
      </c>
      <c r="K510" s="4">
        <f>Table1[[#This Row],[Sales]]*Table1[[#This Row],[Quantity]]</f>
        <v>92645</v>
      </c>
      <c r="L510" s="4">
        <f>Table1[[#This Row],[Revenue]]-(Table1[[#This Row],[Revenue]]*Table1[[#This Row],[Discount]]/100)</f>
        <v>79674.7</v>
      </c>
    </row>
    <row r="511" spans="1:12" x14ac:dyDescent="0.55000000000000004">
      <c r="A511" t="s">
        <v>540</v>
      </c>
      <c r="B511" s="2">
        <v>45050</v>
      </c>
      <c r="C511" t="s">
        <v>19</v>
      </c>
      <c r="D511" t="s">
        <v>37</v>
      </c>
      <c r="E511" t="s">
        <v>11</v>
      </c>
      <c r="F511" t="s">
        <v>34</v>
      </c>
      <c r="G511">
        <v>1617</v>
      </c>
      <c r="H511">
        <v>10</v>
      </c>
      <c r="I511">
        <v>5</v>
      </c>
      <c r="J511" t="s">
        <v>22</v>
      </c>
      <c r="K511" s="4">
        <f>Table1[[#This Row],[Sales]]*Table1[[#This Row],[Quantity]]</f>
        <v>16170</v>
      </c>
      <c r="L511" s="4">
        <f>Table1[[#This Row],[Revenue]]-(Table1[[#This Row],[Revenue]]*Table1[[#This Row],[Discount]]/100)</f>
        <v>15361.5</v>
      </c>
    </row>
    <row r="512" spans="1:12" x14ac:dyDescent="0.55000000000000004">
      <c r="A512" t="s">
        <v>541</v>
      </c>
      <c r="B512" s="2">
        <v>45235</v>
      </c>
      <c r="C512" t="s">
        <v>19</v>
      </c>
      <c r="D512" t="s">
        <v>46</v>
      </c>
      <c r="E512" t="s">
        <v>17</v>
      </c>
      <c r="F512" t="s">
        <v>38</v>
      </c>
      <c r="G512">
        <v>16937</v>
      </c>
      <c r="H512">
        <v>8</v>
      </c>
      <c r="I512">
        <v>24</v>
      </c>
      <c r="J512" t="s">
        <v>13</v>
      </c>
      <c r="K512" s="4">
        <f>Table1[[#This Row],[Sales]]*Table1[[#This Row],[Quantity]]</f>
        <v>135496</v>
      </c>
      <c r="L512" s="4">
        <f>Table1[[#This Row],[Revenue]]-(Table1[[#This Row],[Revenue]]*Table1[[#This Row],[Discount]]/100)</f>
        <v>102976.95999999999</v>
      </c>
    </row>
    <row r="513" spans="1:12" x14ac:dyDescent="0.55000000000000004">
      <c r="A513" t="s">
        <v>542</v>
      </c>
      <c r="B513" s="2">
        <v>44938</v>
      </c>
      <c r="C513" t="s">
        <v>19</v>
      </c>
      <c r="D513" t="s">
        <v>37</v>
      </c>
      <c r="E513" t="s">
        <v>17</v>
      </c>
      <c r="F513" t="s">
        <v>12</v>
      </c>
      <c r="G513">
        <v>1801</v>
      </c>
      <c r="H513">
        <v>4</v>
      </c>
      <c r="I513">
        <v>9</v>
      </c>
      <c r="J513" t="s">
        <v>22</v>
      </c>
      <c r="K513" s="4">
        <f>Table1[[#This Row],[Sales]]*Table1[[#This Row],[Quantity]]</f>
        <v>7204</v>
      </c>
      <c r="L513" s="4">
        <f>Table1[[#This Row],[Revenue]]-(Table1[[#This Row],[Revenue]]*Table1[[#This Row],[Discount]]/100)</f>
        <v>6555.64</v>
      </c>
    </row>
    <row r="514" spans="1:12" x14ac:dyDescent="0.55000000000000004">
      <c r="A514" t="s">
        <v>543</v>
      </c>
      <c r="B514" s="2">
        <v>44956</v>
      </c>
      <c r="C514" t="s">
        <v>19</v>
      </c>
      <c r="D514" t="s">
        <v>20</v>
      </c>
      <c r="E514" t="s">
        <v>17</v>
      </c>
      <c r="F514" t="s">
        <v>38</v>
      </c>
      <c r="G514">
        <v>3508</v>
      </c>
      <c r="H514">
        <v>3</v>
      </c>
      <c r="I514">
        <v>8</v>
      </c>
      <c r="J514" t="s">
        <v>13</v>
      </c>
      <c r="K514" s="4">
        <f>Table1[[#This Row],[Sales]]*Table1[[#This Row],[Quantity]]</f>
        <v>10524</v>
      </c>
      <c r="L514" s="4">
        <f>Table1[[#This Row],[Revenue]]-(Table1[[#This Row],[Revenue]]*Table1[[#This Row],[Discount]]/100)</f>
        <v>9682.08</v>
      </c>
    </row>
    <row r="515" spans="1:12" x14ac:dyDescent="0.55000000000000004">
      <c r="A515" t="s">
        <v>544</v>
      </c>
      <c r="B515" s="2">
        <v>45048</v>
      </c>
      <c r="C515" t="s">
        <v>19</v>
      </c>
      <c r="D515" t="s">
        <v>27</v>
      </c>
      <c r="E515" t="s">
        <v>11</v>
      </c>
      <c r="F515" t="s">
        <v>12</v>
      </c>
      <c r="G515">
        <v>39422</v>
      </c>
      <c r="H515">
        <v>9</v>
      </c>
      <c r="I515">
        <v>13</v>
      </c>
      <c r="J515" t="s">
        <v>22</v>
      </c>
      <c r="K515" s="4">
        <f>Table1[[#This Row],[Sales]]*Table1[[#This Row],[Quantity]]</f>
        <v>354798</v>
      </c>
      <c r="L515" s="4">
        <f>Table1[[#This Row],[Revenue]]-(Table1[[#This Row],[Revenue]]*Table1[[#This Row],[Discount]]/100)</f>
        <v>308674.26</v>
      </c>
    </row>
    <row r="516" spans="1:12" x14ac:dyDescent="0.55000000000000004">
      <c r="A516" t="s">
        <v>545</v>
      </c>
      <c r="B516" s="2">
        <v>45150</v>
      </c>
      <c r="C516" t="s">
        <v>31</v>
      </c>
      <c r="D516" t="s">
        <v>27</v>
      </c>
      <c r="E516" t="s">
        <v>17</v>
      </c>
      <c r="F516" t="s">
        <v>44</v>
      </c>
      <c r="G516">
        <v>44524</v>
      </c>
      <c r="H516">
        <v>1</v>
      </c>
      <c r="I516">
        <v>9</v>
      </c>
      <c r="J516" t="s">
        <v>22</v>
      </c>
      <c r="K516" s="4">
        <f>Table1[[#This Row],[Sales]]*Table1[[#This Row],[Quantity]]</f>
        <v>44524</v>
      </c>
      <c r="L516" s="4">
        <f>Table1[[#This Row],[Revenue]]-(Table1[[#This Row],[Revenue]]*Table1[[#This Row],[Discount]]/100)</f>
        <v>40516.839999999997</v>
      </c>
    </row>
    <row r="517" spans="1:12" x14ac:dyDescent="0.55000000000000004">
      <c r="A517" t="s">
        <v>546</v>
      </c>
      <c r="B517" s="2">
        <v>45291</v>
      </c>
      <c r="C517" t="s">
        <v>31</v>
      </c>
      <c r="D517" t="s">
        <v>16</v>
      </c>
      <c r="E517" t="s">
        <v>11</v>
      </c>
      <c r="F517" t="s">
        <v>21</v>
      </c>
      <c r="G517">
        <v>13834</v>
      </c>
      <c r="H517">
        <v>10</v>
      </c>
      <c r="I517">
        <v>25</v>
      </c>
      <c r="J517" t="s">
        <v>25</v>
      </c>
      <c r="K517" s="4">
        <f>Table1[[#This Row],[Sales]]*Table1[[#This Row],[Quantity]]</f>
        <v>138340</v>
      </c>
      <c r="L517" s="4">
        <f>Table1[[#This Row],[Revenue]]-(Table1[[#This Row],[Revenue]]*Table1[[#This Row],[Discount]]/100)</f>
        <v>103755</v>
      </c>
    </row>
    <row r="518" spans="1:12" x14ac:dyDescent="0.55000000000000004">
      <c r="A518" t="s">
        <v>547</v>
      </c>
      <c r="B518" s="2">
        <v>45285</v>
      </c>
      <c r="C518" t="s">
        <v>19</v>
      </c>
      <c r="D518" t="s">
        <v>27</v>
      </c>
      <c r="E518" t="s">
        <v>17</v>
      </c>
      <c r="F518" t="s">
        <v>48</v>
      </c>
      <c r="G518">
        <v>3992</v>
      </c>
      <c r="H518">
        <v>3</v>
      </c>
      <c r="I518">
        <v>14</v>
      </c>
      <c r="J518" t="s">
        <v>22</v>
      </c>
      <c r="K518" s="4">
        <f>Table1[[#This Row],[Sales]]*Table1[[#This Row],[Quantity]]</f>
        <v>11976</v>
      </c>
      <c r="L518" s="4">
        <f>Table1[[#This Row],[Revenue]]-(Table1[[#This Row],[Revenue]]*Table1[[#This Row],[Discount]]/100)</f>
        <v>10299.36</v>
      </c>
    </row>
    <row r="519" spans="1:12" x14ac:dyDescent="0.55000000000000004">
      <c r="A519" t="s">
        <v>548</v>
      </c>
      <c r="B519" s="2">
        <v>45132</v>
      </c>
      <c r="C519" t="s">
        <v>15</v>
      </c>
      <c r="D519" t="s">
        <v>46</v>
      </c>
      <c r="E519" t="s">
        <v>17</v>
      </c>
      <c r="F519" t="s">
        <v>44</v>
      </c>
      <c r="G519">
        <v>182</v>
      </c>
      <c r="H519">
        <v>6</v>
      </c>
      <c r="I519">
        <v>20</v>
      </c>
      <c r="J519" t="s">
        <v>25</v>
      </c>
      <c r="K519" s="4">
        <f>Table1[[#This Row],[Sales]]*Table1[[#This Row],[Quantity]]</f>
        <v>1092</v>
      </c>
      <c r="L519" s="4">
        <f>Table1[[#This Row],[Revenue]]-(Table1[[#This Row],[Revenue]]*Table1[[#This Row],[Discount]]/100)</f>
        <v>873.6</v>
      </c>
    </row>
    <row r="520" spans="1:12" x14ac:dyDescent="0.55000000000000004">
      <c r="A520" t="s">
        <v>549</v>
      </c>
      <c r="B520" s="2">
        <v>45238</v>
      </c>
      <c r="C520" t="s">
        <v>15</v>
      </c>
      <c r="D520" t="s">
        <v>27</v>
      </c>
      <c r="E520" t="s">
        <v>17</v>
      </c>
      <c r="F520" t="s">
        <v>29</v>
      </c>
      <c r="G520">
        <v>10819</v>
      </c>
      <c r="H520">
        <v>7</v>
      </c>
      <c r="I520">
        <v>12</v>
      </c>
      <c r="J520" t="s">
        <v>13</v>
      </c>
      <c r="K520" s="4">
        <f>Table1[[#This Row],[Sales]]*Table1[[#This Row],[Quantity]]</f>
        <v>75733</v>
      </c>
      <c r="L520" s="4">
        <f>Table1[[#This Row],[Revenue]]-(Table1[[#This Row],[Revenue]]*Table1[[#This Row],[Discount]]/100)</f>
        <v>66645.040000000008</v>
      </c>
    </row>
    <row r="521" spans="1:12" x14ac:dyDescent="0.55000000000000004">
      <c r="A521" t="s">
        <v>550</v>
      </c>
      <c r="B521" s="2">
        <v>45086</v>
      </c>
      <c r="C521" t="s">
        <v>24</v>
      </c>
      <c r="D521" t="s">
        <v>16</v>
      </c>
      <c r="E521" t="s">
        <v>11</v>
      </c>
      <c r="F521" t="s">
        <v>44</v>
      </c>
      <c r="G521">
        <v>5515</v>
      </c>
      <c r="H521">
        <v>9</v>
      </c>
      <c r="I521">
        <v>16</v>
      </c>
      <c r="J521" t="s">
        <v>22</v>
      </c>
      <c r="K521" s="4">
        <f>Table1[[#This Row],[Sales]]*Table1[[#This Row],[Quantity]]</f>
        <v>49635</v>
      </c>
      <c r="L521" s="4">
        <f>Table1[[#This Row],[Revenue]]-(Table1[[#This Row],[Revenue]]*Table1[[#This Row],[Discount]]/100)</f>
        <v>41693.4</v>
      </c>
    </row>
    <row r="522" spans="1:12" x14ac:dyDescent="0.55000000000000004">
      <c r="A522" t="s">
        <v>551</v>
      </c>
      <c r="B522" s="2">
        <v>45189</v>
      </c>
      <c r="C522" t="s">
        <v>24</v>
      </c>
      <c r="D522" t="s">
        <v>46</v>
      </c>
      <c r="E522" t="s">
        <v>11</v>
      </c>
      <c r="F522" t="s">
        <v>29</v>
      </c>
      <c r="G522">
        <v>35216</v>
      </c>
      <c r="H522">
        <v>8</v>
      </c>
      <c r="I522">
        <v>25</v>
      </c>
      <c r="J522" t="s">
        <v>22</v>
      </c>
      <c r="K522" s="4">
        <f>Table1[[#This Row],[Sales]]*Table1[[#This Row],[Quantity]]</f>
        <v>281728</v>
      </c>
      <c r="L522" s="4">
        <f>Table1[[#This Row],[Revenue]]-(Table1[[#This Row],[Revenue]]*Table1[[#This Row],[Discount]]/100)</f>
        <v>211296</v>
      </c>
    </row>
    <row r="523" spans="1:12" x14ac:dyDescent="0.55000000000000004">
      <c r="A523" t="s">
        <v>552</v>
      </c>
      <c r="B523" s="2">
        <v>45137</v>
      </c>
      <c r="C523" t="s">
        <v>31</v>
      </c>
      <c r="D523" t="s">
        <v>37</v>
      </c>
      <c r="E523" t="s">
        <v>11</v>
      </c>
      <c r="F523" t="s">
        <v>29</v>
      </c>
      <c r="G523">
        <v>11529</v>
      </c>
      <c r="H523">
        <v>7</v>
      </c>
      <c r="I523">
        <v>4</v>
      </c>
      <c r="J523" t="s">
        <v>22</v>
      </c>
      <c r="K523" s="4">
        <f>Table1[[#This Row],[Sales]]*Table1[[#This Row],[Quantity]]</f>
        <v>80703</v>
      </c>
      <c r="L523" s="4">
        <f>Table1[[#This Row],[Revenue]]-(Table1[[#This Row],[Revenue]]*Table1[[#This Row],[Discount]]/100)</f>
        <v>77474.880000000005</v>
      </c>
    </row>
    <row r="524" spans="1:12" x14ac:dyDescent="0.55000000000000004">
      <c r="A524" t="s">
        <v>553</v>
      </c>
      <c r="B524" s="2">
        <v>45091</v>
      </c>
      <c r="C524" t="s">
        <v>24</v>
      </c>
      <c r="D524" t="s">
        <v>37</v>
      </c>
      <c r="E524" t="s">
        <v>11</v>
      </c>
      <c r="F524" t="s">
        <v>21</v>
      </c>
      <c r="G524">
        <v>27038</v>
      </c>
      <c r="H524">
        <v>5</v>
      </c>
      <c r="I524">
        <v>13</v>
      </c>
      <c r="J524" t="s">
        <v>22</v>
      </c>
      <c r="K524" s="4">
        <f>Table1[[#This Row],[Sales]]*Table1[[#This Row],[Quantity]]</f>
        <v>135190</v>
      </c>
      <c r="L524" s="4">
        <f>Table1[[#This Row],[Revenue]]-(Table1[[#This Row],[Revenue]]*Table1[[#This Row],[Discount]]/100)</f>
        <v>117615.3</v>
      </c>
    </row>
    <row r="525" spans="1:12" x14ac:dyDescent="0.55000000000000004">
      <c r="A525" t="s">
        <v>554</v>
      </c>
      <c r="B525" s="2">
        <v>45101</v>
      </c>
      <c r="C525" t="s">
        <v>15</v>
      </c>
      <c r="D525" t="s">
        <v>27</v>
      </c>
      <c r="E525" t="s">
        <v>11</v>
      </c>
      <c r="F525" t="s">
        <v>44</v>
      </c>
      <c r="G525">
        <v>26786</v>
      </c>
      <c r="H525">
        <v>10</v>
      </c>
      <c r="I525">
        <v>30</v>
      </c>
      <c r="J525" t="s">
        <v>25</v>
      </c>
      <c r="K525" s="4">
        <f>Table1[[#This Row],[Sales]]*Table1[[#This Row],[Quantity]]</f>
        <v>267860</v>
      </c>
      <c r="L525" s="4">
        <f>Table1[[#This Row],[Revenue]]-(Table1[[#This Row],[Revenue]]*Table1[[#This Row],[Discount]]/100)</f>
        <v>187502</v>
      </c>
    </row>
    <row r="526" spans="1:12" x14ac:dyDescent="0.55000000000000004">
      <c r="A526" t="s">
        <v>555</v>
      </c>
      <c r="B526" s="2">
        <v>45099</v>
      </c>
      <c r="C526" t="s">
        <v>19</v>
      </c>
      <c r="D526" t="s">
        <v>46</v>
      </c>
      <c r="E526" t="s">
        <v>17</v>
      </c>
      <c r="F526" t="s">
        <v>21</v>
      </c>
      <c r="G526">
        <v>11255</v>
      </c>
      <c r="H526">
        <v>7</v>
      </c>
      <c r="I526">
        <v>3</v>
      </c>
      <c r="J526" t="s">
        <v>22</v>
      </c>
      <c r="K526" s="4">
        <f>Table1[[#This Row],[Sales]]*Table1[[#This Row],[Quantity]]</f>
        <v>78785</v>
      </c>
      <c r="L526" s="4">
        <f>Table1[[#This Row],[Revenue]]-(Table1[[#This Row],[Revenue]]*Table1[[#This Row],[Discount]]/100)</f>
        <v>76421.45</v>
      </c>
    </row>
    <row r="527" spans="1:12" x14ac:dyDescent="0.55000000000000004">
      <c r="A527" t="s">
        <v>556</v>
      </c>
      <c r="B527" s="2">
        <v>45000</v>
      </c>
      <c r="C527" t="s">
        <v>15</v>
      </c>
      <c r="D527" t="s">
        <v>37</v>
      </c>
      <c r="E527" t="s">
        <v>17</v>
      </c>
      <c r="F527" t="s">
        <v>38</v>
      </c>
      <c r="G527">
        <v>30087</v>
      </c>
      <c r="H527">
        <v>7</v>
      </c>
      <c r="I527">
        <v>16</v>
      </c>
      <c r="J527" t="s">
        <v>25</v>
      </c>
      <c r="K527" s="4">
        <f>Table1[[#This Row],[Sales]]*Table1[[#This Row],[Quantity]]</f>
        <v>210609</v>
      </c>
      <c r="L527" s="4">
        <f>Table1[[#This Row],[Revenue]]-(Table1[[#This Row],[Revenue]]*Table1[[#This Row],[Discount]]/100)</f>
        <v>176911.56</v>
      </c>
    </row>
    <row r="528" spans="1:12" x14ac:dyDescent="0.55000000000000004">
      <c r="A528" t="s">
        <v>557</v>
      </c>
      <c r="B528" s="2">
        <v>45007</v>
      </c>
      <c r="C528" t="s">
        <v>19</v>
      </c>
      <c r="D528" t="s">
        <v>46</v>
      </c>
      <c r="E528" t="s">
        <v>17</v>
      </c>
      <c r="F528" t="s">
        <v>38</v>
      </c>
      <c r="G528">
        <v>10928</v>
      </c>
      <c r="H528">
        <v>1</v>
      </c>
      <c r="I528">
        <v>23</v>
      </c>
      <c r="J528" t="s">
        <v>13</v>
      </c>
      <c r="K528" s="4">
        <f>Table1[[#This Row],[Sales]]*Table1[[#This Row],[Quantity]]</f>
        <v>10928</v>
      </c>
      <c r="L528" s="4">
        <f>Table1[[#This Row],[Revenue]]-(Table1[[#This Row],[Revenue]]*Table1[[#This Row],[Discount]]/100)</f>
        <v>8414.56</v>
      </c>
    </row>
    <row r="529" spans="1:12" x14ac:dyDescent="0.55000000000000004">
      <c r="A529" t="s">
        <v>558</v>
      </c>
      <c r="B529" s="2">
        <v>45034</v>
      </c>
      <c r="C529" t="s">
        <v>15</v>
      </c>
      <c r="D529" t="s">
        <v>16</v>
      </c>
      <c r="E529" t="s">
        <v>11</v>
      </c>
      <c r="F529" t="s">
        <v>38</v>
      </c>
      <c r="G529">
        <v>26375</v>
      </c>
      <c r="H529">
        <v>2</v>
      </c>
      <c r="I529">
        <v>14</v>
      </c>
      <c r="J529" t="s">
        <v>13</v>
      </c>
      <c r="K529" s="4">
        <f>Table1[[#This Row],[Sales]]*Table1[[#This Row],[Quantity]]</f>
        <v>52750</v>
      </c>
      <c r="L529" s="4">
        <f>Table1[[#This Row],[Revenue]]-(Table1[[#This Row],[Revenue]]*Table1[[#This Row],[Discount]]/100)</f>
        <v>45365</v>
      </c>
    </row>
    <row r="530" spans="1:12" x14ac:dyDescent="0.55000000000000004">
      <c r="A530" t="s">
        <v>559</v>
      </c>
      <c r="B530" s="2">
        <v>45124</v>
      </c>
      <c r="C530" t="s">
        <v>15</v>
      </c>
      <c r="D530" t="s">
        <v>27</v>
      </c>
      <c r="E530" t="s">
        <v>11</v>
      </c>
      <c r="F530" t="s">
        <v>44</v>
      </c>
      <c r="G530">
        <v>29143</v>
      </c>
      <c r="H530">
        <v>8</v>
      </c>
      <c r="I530">
        <v>18</v>
      </c>
      <c r="J530" t="s">
        <v>13</v>
      </c>
      <c r="K530" s="4">
        <f>Table1[[#This Row],[Sales]]*Table1[[#This Row],[Quantity]]</f>
        <v>233144</v>
      </c>
      <c r="L530" s="4">
        <f>Table1[[#This Row],[Revenue]]-(Table1[[#This Row],[Revenue]]*Table1[[#This Row],[Discount]]/100)</f>
        <v>191178.08000000002</v>
      </c>
    </row>
    <row r="531" spans="1:12" x14ac:dyDescent="0.55000000000000004">
      <c r="A531" t="s">
        <v>560</v>
      </c>
      <c r="B531" s="2">
        <v>44992</v>
      </c>
      <c r="C531" t="s">
        <v>19</v>
      </c>
      <c r="D531" t="s">
        <v>20</v>
      </c>
      <c r="E531" t="s">
        <v>11</v>
      </c>
      <c r="F531" t="s">
        <v>12</v>
      </c>
      <c r="G531">
        <v>16533</v>
      </c>
      <c r="H531">
        <v>2</v>
      </c>
      <c r="I531">
        <v>2</v>
      </c>
      <c r="J531" t="s">
        <v>22</v>
      </c>
      <c r="K531" s="4">
        <f>Table1[[#This Row],[Sales]]*Table1[[#This Row],[Quantity]]</f>
        <v>33066</v>
      </c>
      <c r="L531" s="4">
        <f>Table1[[#This Row],[Revenue]]-(Table1[[#This Row],[Revenue]]*Table1[[#This Row],[Discount]]/100)</f>
        <v>32404.68</v>
      </c>
    </row>
    <row r="532" spans="1:12" x14ac:dyDescent="0.55000000000000004">
      <c r="A532" t="s">
        <v>561</v>
      </c>
      <c r="B532" s="2">
        <v>45248</v>
      </c>
      <c r="C532" t="s">
        <v>15</v>
      </c>
      <c r="D532" t="s">
        <v>20</v>
      </c>
      <c r="E532" t="s">
        <v>17</v>
      </c>
      <c r="F532" t="s">
        <v>44</v>
      </c>
      <c r="G532">
        <v>47894</v>
      </c>
      <c r="H532">
        <v>6</v>
      </c>
      <c r="I532">
        <v>23</v>
      </c>
      <c r="J532" t="s">
        <v>13</v>
      </c>
      <c r="K532" s="4">
        <f>Table1[[#This Row],[Sales]]*Table1[[#This Row],[Quantity]]</f>
        <v>287364</v>
      </c>
      <c r="L532" s="4">
        <f>Table1[[#This Row],[Revenue]]-(Table1[[#This Row],[Revenue]]*Table1[[#This Row],[Discount]]/100)</f>
        <v>221270.28</v>
      </c>
    </row>
    <row r="533" spans="1:12" x14ac:dyDescent="0.55000000000000004">
      <c r="A533" t="s">
        <v>562</v>
      </c>
      <c r="B533" s="2">
        <v>45275</v>
      </c>
      <c r="C533" t="s">
        <v>31</v>
      </c>
      <c r="D533" t="s">
        <v>46</v>
      </c>
      <c r="E533" t="s">
        <v>17</v>
      </c>
      <c r="F533" t="s">
        <v>44</v>
      </c>
      <c r="G533">
        <v>14158</v>
      </c>
      <c r="H533">
        <v>9</v>
      </c>
      <c r="I533">
        <v>13</v>
      </c>
      <c r="J533" t="s">
        <v>25</v>
      </c>
      <c r="K533" s="4">
        <f>Table1[[#This Row],[Sales]]*Table1[[#This Row],[Quantity]]</f>
        <v>127422</v>
      </c>
      <c r="L533" s="4">
        <f>Table1[[#This Row],[Revenue]]-(Table1[[#This Row],[Revenue]]*Table1[[#This Row],[Discount]]/100)</f>
        <v>110857.14</v>
      </c>
    </row>
    <row r="534" spans="1:12" x14ac:dyDescent="0.55000000000000004">
      <c r="A534" t="s">
        <v>563</v>
      </c>
      <c r="B534" s="2">
        <v>45083</v>
      </c>
      <c r="C534" t="s">
        <v>31</v>
      </c>
      <c r="D534" t="s">
        <v>20</v>
      </c>
      <c r="E534" t="s">
        <v>11</v>
      </c>
      <c r="F534" t="s">
        <v>21</v>
      </c>
      <c r="G534">
        <v>11947</v>
      </c>
      <c r="H534">
        <v>1</v>
      </c>
      <c r="I534">
        <v>9</v>
      </c>
      <c r="J534" t="s">
        <v>13</v>
      </c>
      <c r="K534" s="4">
        <f>Table1[[#This Row],[Sales]]*Table1[[#This Row],[Quantity]]</f>
        <v>11947</v>
      </c>
      <c r="L534" s="4">
        <f>Table1[[#This Row],[Revenue]]-(Table1[[#This Row],[Revenue]]*Table1[[#This Row],[Discount]]/100)</f>
        <v>10871.77</v>
      </c>
    </row>
    <row r="535" spans="1:12" x14ac:dyDescent="0.55000000000000004">
      <c r="A535" t="s">
        <v>564</v>
      </c>
      <c r="B535" s="2">
        <v>44936</v>
      </c>
      <c r="C535" t="s">
        <v>24</v>
      </c>
      <c r="D535" t="s">
        <v>20</v>
      </c>
      <c r="E535" t="s">
        <v>17</v>
      </c>
      <c r="F535" t="s">
        <v>38</v>
      </c>
      <c r="G535">
        <v>37565</v>
      </c>
      <c r="H535">
        <v>9</v>
      </c>
      <c r="I535">
        <v>14</v>
      </c>
      <c r="J535" t="s">
        <v>13</v>
      </c>
      <c r="K535" s="4">
        <f>Table1[[#This Row],[Sales]]*Table1[[#This Row],[Quantity]]</f>
        <v>338085</v>
      </c>
      <c r="L535" s="4">
        <f>Table1[[#This Row],[Revenue]]-(Table1[[#This Row],[Revenue]]*Table1[[#This Row],[Discount]]/100)</f>
        <v>290753.09999999998</v>
      </c>
    </row>
    <row r="536" spans="1:12" x14ac:dyDescent="0.55000000000000004">
      <c r="A536" t="s">
        <v>565</v>
      </c>
      <c r="B536" s="2">
        <v>45153</v>
      </c>
      <c r="C536" t="s">
        <v>15</v>
      </c>
      <c r="D536" t="s">
        <v>16</v>
      </c>
      <c r="E536" t="s">
        <v>17</v>
      </c>
      <c r="F536" t="s">
        <v>34</v>
      </c>
      <c r="G536">
        <v>2388</v>
      </c>
      <c r="H536">
        <v>1</v>
      </c>
      <c r="I536">
        <v>21</v>
      </c>
      <c r="J536" t="s">
        <v>25</v>
      </c>
      <c r="K536" s="4">
        <f>Table1[[#This Row],[Sales]]*Table1[[#This Row],[Quantity]]</f>
        <v>2388</v>
      </c>
      <c r="L536" s="4">
        <f>Table1[[#This Row],[Revenue]]-(Table1[[#This Row],[Revenue]]*Table1[[#This Row],[Discount]]/100)</f>
        <v>1886.52</v>
      </c>
    </row>
    <row r="537" spans="1:12" x14ac:dyDescent="0.55000000000000004">
      <c r="A537" t="s">
        <v>566</v>
      </c>
      <c r="B537" s="2">
        <v>44984</v>
      </c>
      <c r="C537" t="s">
        <v>31</v>
      </c>
      <c r="D537" t="s">
        <v>37</v>
      </c>
      <c r="E537" t="s">
        <v>11</v>
      </c>
      <c r="F537" t="s">
        <v>29</v>
      </c>
      <c r="G537">
        <v>13749</v>
      </c>
      <c r="H537">
        <v>10</v>
      </c>
      <c r="I537">
        <v>13</v>
      </c>
      <c r="J537" t="s">
        <v>25</v>
      </c>
      <c r="K537" s="4">
        <f>Table1[[#This Row],[Sales]]*Table1[[#This Row],[Quantity]]</f>
        <v>137490</v>
      </c>
      <c r="L537" s="4">
        <f>Table1[[#This Row],[Revenue]]-(Table1[[#This Row],[Revenue]]*Table1[[#This Row],[Discount]]/100)</f>
        <v>119616.3</v>
      </c>
    </row>
    <row r="538" spans="1:12" x14ac:dyDescent="0.55000000000000004">
      <c r="A538" t="s">
        <v>567</v>
      </c>
      <c r="B538" s="2">
        <v>45050</v>
      </c>
      <c r="C538" t="s">
        <v>19</v>
      </c>
      <c r="D538" t="s">
        <v>16</v>
      </c>
      <c r="E538" t="s">
        <v>17</v>
      </c>
      <c r="F538" t="s">
        <v>48</v>
      </c>
      <c r="G538">
        <v>15004</v>
      </c>
      <c r="H538">
        <v>7</v>
      </c>
      <c r="I538">
        <v>19</v>
      </c>
      <c r="J538" t="s">
        <v>13</v>
      </c>
      <c r="K538" s="4">
        <f>Table1[[#This Row],[Sales]]*Table1[[#This Row],[Quantity]]</f>
        <v>105028</v>
      </c>
      <c r="L538" s="4">
        <f>Table1[[#This Row],[Revenue]]-(Table1[[#This Row],[Revenue]]*Table1[[#This Row],[Discount]]/100)</f>
        <v>85072.68</v>
      </c>
    </row>
    <row r="539" spans="1:12" x14ac:dyDescent="0.55000000000000004">
      <c r="A539" t="s">
        <v>568</v>
      </c>
      <c r="B539" s="2">
        <v>45001</v>
      </c>
      <c r="C539" t="s">
        <v>31</v>
      </c>
      <c r="D539" t="s">
        <v>20</v>
      </c>
      <c r="E539" t="s">
        <v>17</v>
      </c>
      <c r="F539" t="s">
        <v>29</v>
      </c>
      <c r="G539">
        <v>23329</v>
      </c>
      <c r="H539">
        <v>6</v>
      </c>
      <c r="I539">
        <v>18</v>
      </c>
      <c r="J539" t="s">
        <v>13</v>
      </c>
      <c r="K539" s="4">
        <f>Table1[[#This Row],[Sales]]*Table1[[#This Row],[Quantity]]</f>
        <v>139974</v>
      </c>
      <c r="L539" s="4">
        <f>Table1[[#This Row],[Revenue]]-(Table1[[#This Row],[Revenue]]*Table1[[#This Row],[Discount]]/100)</f>
        <v>114778.68</v>
      </c>
    </row>
    <row r="540" spans="1:12" x14ac:dyDescent="0.55000000000000004">
      <c r="A540" t="s">
        <v>569</v>
      </c>
      <c r="B540" s="2">
        <v>45255</v>
      </c>
      <c r="C540" t="s">
        <v>15</v>
      </c>
      <c r="D540" t="s">
        <v>37</v>
      </c>
      <c r="E540" t="s">
        <v>17</v>
      </c>
      <c r="F540" t="s">
        <v>21</v>
      </c>
      <c r="G540">
        <v>39555</v>
      </c>
      <c r="H540">
        <v>10</v>
      </c>
      <c r="I540">
        <v>17</v>
      </c>
      <c r="J540" t="s">
        <v>13</v>
      </c>
      <c r="K540" s="4">
        <f>Table1[[#This Row],[Sales]]*Table1[[#This Row],[Quantity]]</f>
        <v>395550</v>
      </c>
      <c r="L540" s="4">
        <f>Table1[[#This Row],[Revenue]]-(Table1[[#This Row],[Revenue]]*Table1[[#This Row],[Discount]]/100)</f>
        <v>328306.5</v>
      </c>
    </row>
    <row r="541" spans="1:12" x14ac:dyDescent="0.55000000000000004">
      <c r="A541" t="s">
        <v>570</v>
      </c>
      <c r="B541" s="2">
        <v>45110</v>
      </c>
      <c r="C541" t="s">
        <v>15</v>
      </c>
      <c r="D541" t="s">
        <v>16</v>
      </c>
      <c r="E541" t="s">
        <v>17</v>
      </c>
      <c r="F541" t="s">
        <v>34</v>
      </c>
      <c r="G541">
        <v>23337</v>
      </c>
      <c r="H541">
        <v>10</v>
      </c>
      <c r="I541">
        <v>5</v>
      </c>
      <c r="J541" t="s">
        <v>25</v>
      </c>
      <c r="K541" s="4">
        <f>Table1[[#This Row],[Sales]]*Table1[[#This Row],[Quantity]]</f>
        <v>233370</v>
      </c>
      <c r="L541" s="4">
        <f>Table1[[#This Row],[Revenue]]-(Table1[[#This Row],[Revenue]]*Table1[[#This Row],[Discount]]/100)</f>
        <v>221701.5</v>
      </c>
    </row>
    <row r="542" spans="1:12" x14ac:dyDescent="0.55000000000000004">
      <c r="A542" t="s">
        <v>571</v>
      </c>
      <c r="B542" s="2">
        <v>45018</v>
      </c>
      <c r="C542" t="s">
        <v>15</v>
      </c>
      <c r="D542" t="s">
        <v>37</v>
      </c>
      <c r="E542" t="s">
        <v>11</v>
      </c>
      <c r="F542" t="s">
        <v>34</v>
      </c>
      <c r="G542">
        <v>30051</v>
      </c>
      <c r="H542">
        <v>8</v>
      </c>
      <c r="I542">
        <v>22</v>
      </c>
      <c r="J542" t="s">
        <v>25</v>
      </c>
      <c r="K542" s="4">
        <f>Table1[[#This Row],[Sales]]*Table1[[#This Row],[Quantity]]</f>
        <v>240408</v>
      </c>
      <c r="L542" s="4">
        <f>Table1[[#This Row],[Revenue]]-(Table1[[#This Row],[Revenue]]*Table1[[#This Row],[Discount]]/100)</f>
        <v>187518.24</v>
      </c>
    </row>
    <row r="543" spans="1:12" x14ac:dyDescent="0.55000000000000004">
      <c r="A543" t="s">
        <v>572</v>
      </c>
      <c r="B543" s="2">
        <v>45174</v>
      </c>
      <c r="C543" t="s">
        <v>19</v>
      </c>
      <c r="D543" t="s">
        <v>37</v>
      </c>
      <c r="E543" t="s">
        <v>11</v>
      </c>
      <c r="F543" t="s">
        <v>12</v>
      </c>
      <c r="G543">
        <v>20678</v>
      </c>
      <c r="H543">
        <v>1</v>
      </c>
      <c r="I543">
        <v>13</v>
      </c>
      <c r="J543" t="s">
        <v>22</v>
      </c>
      <c r="K543" s="4">
        <f>Table1[[#This Row],[Sales]]*Table1[[#This Row],[Quantity]]</f>
        <v>20678</v>
      </c>
      <c r="L543" s="4">
        <f>Table1[[#This Row],[Revenue]]-(Table1[[#This Row],[Revenue]]*Table1[[#This Row],[Discount]]/100)</f>
        <v>17989.86</v>
      </c>
    </row>
    <row r="544" spans="1:12" x14ac:dyDescent="0.55000000000000004">
      <c r="A544" t="s">
        <v>573</v>
      </c>
      <c r="B544" s="2">
        <v>45284</v>
      </c>
      <c r="C544" t="s">
        <v>15</v>
      </c>
      <c r="D544" t="s">
        <v>46</v>
      </c>
      <c r="E544" t="s">
        <v>17</v>
      </c>
      <c r="F544" t="s">
        <v>44</v>
      </c>
      <c r="G544">
        <v>39741</v>
      </c>
      <c r="H544">
        <v>1</v>
      </c>
      <c r="I544">
        <v>9</v>
      </c>
      <c r="J544" t="s">
        <v>25</v>
      </c>
      <c r="K544" s="4">
        <f>Table1[[#This Row],[Sales]]*Table1[[#This Row],[Quantity]]</f>
        <v>39741</v>
      </c>
      <c r="L544" s="4">
        <f>Table1[[#This Row],[Revenue]]-(Table1[[#This Row],[Revenue]]*Table1[[#This Row],[Discount]]/100)</f>
        <v>36164.31</v>
      </c>
    </row>
    <row r="545" spans="1:12" x14ac:dyDescent="0.55000000000000004">
      <c r="A545" t="s">
        <v>574</v>
      </c>
      <c r="B545" s="2">
        <v>45140</v>
      </c>
      <c r="C545" t="s">
        <v>15</v>
      </c>
      <c r="D545" t="s">
        <v>20</v>
      </c>
      <c r="E545" t="s">
        <v>11</v>
      </c>
      <c r="F545" t="s">
        <v>38</v>
      </c>
      <c r="G545">
        <v>11360</v>
      </c>
      <c r="H545">
        <v>2</v>
      </c>
      <c r="I545">
        <v>15</v>
      </c>
      <c r="J545" t="s">
        <v>22</v>
      </c>
      <c r="K545" s="4">
        <f>Table1[[#This Row],[Sales]]*Table1[[#This Row],[Quantity]]</f>
        <v>22720</v>
      </c>
      <c r="L545" s="4">
        <f>Table1[[#This Row],[Revenue]]-(Table1[[#This Row],[Revenue]]*Table1[[#This Row],[Discount]]/100)</f>
        <v>19312</v>
      </c>
    </row>
    <row r="546" spans="1:12" x14ac:dyDescent="0.55000000000000004">
      <c r="A546" t="s">
        <v>575</v>
      </c>
      <c r="B546" s="2">
        <v>45171</v>
      </c>
      <c r="C546" t="s">
        <v>24</v>
      </c>
      <c r="D546" t="s">
        <v>37</v>
      </c>
      <c r="E546" t="s">
        <v>11</v>
      </c>
      <c r="F546" t="s">
        <v>12</v>
      </c>
      <c r="G546">
        <v>20125</v>
      </c>
      <c r="H546">
        <v>6</v>
      </c>
      <c r="I546">
        <v>3</v>
      </c>
      <c r="J546" t="s">
        <v>22</v>
      </c>
      <c r="K546" s="4">
        <f>Table1[[#This Row],[Sales]]*Table1[[#This Row],[Quantity]]</f>
        <v>120750</v>
      </c>
      <c r="L546" s="4">
        <f>Table1[[#This Row],[Revenue]]-(Table1[[#This Row],[Revenue]]*Table1[[#This Row],[Discount]]/100)</f>
        <v>117127.5</v>
      </c>
    </row>
    <row r="547" spans="1:12" x14ac:dyDescent="0.55000000000000004">
      <c r="A547" t="s">
        <v>576</v>
      </c>
      <c r="B547" s="2">
        <v>44947</v>
      </c>
      <c r="C547" t="s">
        <v>19</v>
      </c>
      <c r="D547" t="s">
        <v>46</v>
      </c>
      <c r="E547" t="s">
        <v>17</v>
      </c>
      <c r="F547" t="s">
        <v>34</v>
      </c>
      <c r="G547">
        <v>8880</v>
      </c>
      <c r="H547">
        <v>4</v>
      </c>
      <c r="I547">
        <v>29</v>
      </c>
      <c r="J547" t="s">
        <v>25</v>
      </c>
      <c r="K547" s="4">
        <f>Table1[[#This Row],[Sales]]*Table1[[#This Row],[Quantity]]</f>
        <v>35520</v>
      </c>
      <c r="L547" s="4">
        <f>Table1[[#This Row],[Revenue]]-(Table1[[#This Row],[Revenue]]*Table1[[#This Row],[Discount]]/100)</f>
        <v>25219.200000000001</v>
      </c>
    </row>
    <row r="548" spans="1:12" x14ac:dyDescent="0.55000000000000004">
      <c r="A548" t="s">
        <v>577</v>
      </c>
      <c r="B548" s="2">
        <v>45157</v>
      </c>
      <c r="C548" t="s">
        <v>15</v>
      </c>
      <c r="D548" t="s">
        <v>46</v>
      </c>
      <c r="E548" t="s">
        <v>17</v>
      </c>
      <c r="F548" t="s">
        <v>44</v>
      </c>
      <c r="G548">
        <v>26724</v>
      </c>
      <c r="H548">
        <v>7</v>
      </c>
      <c r="I548">
        <v>29</v>
      </c>
      <c r="J548" t="s">
        <v>22</v>
      </c>
      <c r="K548" s="4">
        <f>Table1[[#This Row],[Sales]]*Table1[[#This Row],[Quantity]]</f>
        <v>187068</v>
      </c>
      <c r="L548" s="4">
        <f>Table1[[#This Row],[Revenue]]-(Table1[[#This Row],[Revenue]]*Table1[[#This Row],[Discount]]/100)</f>
        <v>132818.28</v>
      </c>
    </row>
    <row r="549" spans="1:12" x14ac:dyDescent="0.55000000000000004">
      <c r="A549" t="s">
        <v>578</v>
      </c>
      <c r="B549" s="2">
        <v>45057</v>
      </c>
      <c r="C549" t="s">
        <v>19</v>
      </c>
      <c r="D549" t="s">
        <v>27</v>
      </c>
      <c r="E549" t="s">
        <v>17</v>
      </c>
      <c r="F549" t="s">
        <v>34</v>
      </c>
      <c r="G549">
        <v>6093</v>
      </c>
      <c r="H549">
        <v>8</v>
      </c>
      <c r="I549">
        <v>3</v>
      </c>
      <c r="J549" t="s">
        <v>13</v>
      </c>
      <c r="K549" s="4">
        <f>Table1[[#This Row],[Sales]]*Table1[[#This Row],[Quantity]]</f>
        <v>48744</v>
      </c>
      <c r="L549" s="4">
        <f>Table1[[#This Row],[Revenue]]-(Table1[[#This Row],[Revenue]]*Table1[[#This Row],[Discount]]/100)</f>
        <v>47281.68</v>
      </c>
    </row>
    <row r="550" spans="1:12" x14ac:dyDescent="0.55000000000000004">
      <c r="A550" t="s">
        <v>579</v>
      </c>
      <c r="B550" s="2">
        <v>45048</v>
      </c>
      <c r="C550" t="s">
        <v>19</v>
      </c>
      <c r="D550" t="s">
        <v>46</v>
      </c>
      <c r="E550" t="s">
        <v>17</v>
      </c>
      <c r="F550" t="s">
        <v>34</v>
      </c>
      <c r="G550">
        <v>46517</v>
      </c>
      <c r="H550">
        <v>7</v>
      </c>
      <c r="I550">
        <v>28</v>
      </c>
      <c r="J550" t="s">
        <v>25</v>
      </c>
      <c r="K550" s="4">
        <f>Table1[[#This Row],[Sales]]*Table1[[#This Row],[Quantity]]</f>
        <v>325619</v>
      </c>
      <c r="L550" s="4">
        <f>Table1[[#This Row],[Revenue]]-(Table1[[#This Row],[Revenue]]*Table1[[#This Row],[Discount]]/100)</f>
        <v>234445.68</v>
      </c>
    </row>
    <row r="551" spans="1:12" x14ac:dyDescent="0.55000000000000004">
      <c r="A551" t="s">
        <v>580</v>
      </c>
      <c r="B551" s="2">
        <v>44955</v>
      </c>
      <c r="C551" t="s">
        <v>15</v>
      </c>
      <c r="D551" t="s">
        <v>46</v>
      </c>
      <c r="E551" t="s">
        <v>17</v>
      </c>
      <c r="F551" t="s">
        <v>21</v>
      </c>
      <c r="G551">
        <v>33825</v>
      </c>
      <c r="H551">
        <v>2</v>
      </c>
      <c r="I551">
        <v>18</v>
      </c>
      <c r="J551" t="s">
        <v>25</v>
      </c>
      <c r="K551" s="4">
        <f>Table1[[#This Row],[Sales]]*Table1[[#This Row],[Quantity]]</f>
        <v>67650</v>
      </c>
      <c r="L551" s="4">
        <f>Table1[[#This Row],[Revenue]]-(Table1[[#This Row],[Revenue]]*Table1[[#This Row],[Discount]]/100)</f>
        <v>55473</v>
      </c>
    </row>
    <row r="552" spans="1:12" x14ac:dyDescent="0.55000000000000004">
      <c r="A552" t="s">
        <v>581</v>
      </c>
      <c r="B552" s="2">
        <v>45080</v>
      </c>
      <c r="C552" t="s">
        <v>24</v>
      </c>
      <c r="D552" t="s">
        <v>27</v>
      </c>
      <c r="E552" t="s">
        <v>17</v>
      </c>
      <c r="F552" t="s">
        <v>12</v>
      </c>
      <c r="G552">
        <v>2297</v>
      </c>
      <c r="H552">
        <v>10</v>
      </c>
      <c r="I552">
        <v>9</v>
      </c>
      <c r="J552" t="s">
        <v>13</v>
      </c>
      <c r="K552" s="4">
        <f>Table1[[#This Row],[Sales]]*Table1[[#This Row],[Quantity]]</f>
        <v>22970</v>
      </c>
      <c r="L552" s="4">
        <f>Table1[[#This Row],[Revenue]]-(Table1[[#This Row],[Revenue]]*Table1[[#This Row],[Discount]]/100)</f>
        <v>20902.7</v>
      </c>
    </row>
    <row r="553" spans="1:12" x14ac:dyDescent="0.55000000000000004">
      <c r="A553" t="s">
        <v>582</v>
      </c>
      <c r="B553" s="2">
        <v>45270</v>
      </c>
      <c r="C553" t="s">
        <v>24</v>
      </c>
      <c r="D553" t="s">
        <v>27</v>
      </c>
      <c r="E553" t="s">
        <v>17</v>
      </c>
      <c r="F553" t="s">
        <v>34</v>
      </c>
      <c r="G553">
        <v>9874</v>
      </c>
      <c r="H553">
        <v>7</v>
      </c>
      <c r="I553">
        <v>24</v>
      </c>
      <c r="J553" t="s">
        <v>22</v>
      </c>
      <c r="K553" s="4">
        <f>Table1[[#This Row],[Sales]]*Table1[[#This Row],[Quantity]]</f>
        <v>69118</v>
      </c>
      <c r="L553" s="4">
        <f>Table1[[#This Row],[Revenue]]-(Table1[[#This Row],[Revenue]]*Table1[[#This Row],[Discount]]/100)</f>
        <v>52529.68</v>
      </c>
    </row>
    <row r="554" spans="1:12" x14ac:dyDescent="0.55000000000000004">
      <c r="A554" t="s">
        <v>583</v>
      </c>
      <c r="B554" s="2">
        <v>45008</v>
      </c>
      <c r="C554" t="s">
        <v>19</v>
      </c>
      <c r="D554" t="s">
        <v>20</v>
      </c>
      <c r="E554" t="s">
        <v>11</v>
      </c>
      <c r="F554" t="s">
        <v>38</v>
      </c>
      <c r="G554">
        <v>31126</v>
      </c>
      <c r="H554">
        <v>2</v>
      </c>
      <c r="I554">
        <v>11</v>
      </c>
      <c r="J554" t="s">
        <v>25</v>
      </c>
      <c r="K554" s="4">
        <f>Table1[[#This Row],[Sales]]*Table1[[#This Row],[Quantity]]</f>
        <v>62252</v>
      </c>
      <c r="L554" s="4">
        <f>Table1[[#This Row],[Revenue]]-(Table1[[#This Row],[Revenue]]*Table1[[#This Row],[Discount]]/100)</f>
        <v>55404.28</v>
      </c>
    </row>
    <row r="555" spans="1:12" x14ac:dyDescent="0.55000000000000004">
      <c r="A555" t="s">
        <v>584</v>
      </c>
      <c r="B555" s="2">
        <v>45116</v>
      </c>
      <c r="C555" t="s">
        <v>15</v>
      </c>
      <c r="D555" t="s">
        <v>27</v>
      </c>
      <c r="E555" t="s">
        <v>17</v>
      </c>
      <c r="F555" t="s">
        <v>44</v>
      </c>
      <c r="G555">
        <v>23754</v>
      </c>
      <c r="H555">
        <v>1</v>
      </c>
      <c r="I555">
        <v>24</v>
      </c>
      <c r="J555" t="s">
        <v>25</v>
      </c>
      <c r="K555" s="4">
        <f>Table1[[#This Row],[Sales]]*Table1[[#This Row],[Quantity]]</f>
        <v>23754</v>
      </c>
      <c r="L555" s="4">
        <f>Table1[[#This Row],[Revenue]]-(Table1[[#This Row],[Revenue]]*Table1[[#This Row],[Discount]]/100)</f>
        <v>18053.04</v>
      </c>
    </row>
    <row r="556" spans="1:12" x14ac:dyDescent="0.55000000000000004">
      <c r="A556" t="s">
        <v>585</v>
      </c>
      <c r="B556" s="2">
        <v>44953</v>
      </c>
      <c r="C556" t="s">
        <v>31</v>
      </c>
      <c r="D556" t="s">
        <v>37</v>
      </c>
      <c r="E556" t="s">
        <v>11</v>
      </c>
      <c r="F556" t="s">
        <v>48</v>
      </c>
      <c r="G556">
        <v>39429</v>
      </c>
      <c r="H556">
        <v>4</v>
      </c>
      <c r="I556">
        <v>3</v>
      </c>
      <c r="J556" t="s">
        <v>22</v>
      </c>
      <c r="K556" s="4">
        <f>Table1[[#This Row],[Sales]]*Table1[[#This Row],[Quantity]]</f>
        <v>157716</v>
      </c>
      <c r="L556" s="4">
        <f>Table1[[#This Row],[Revenue]]-(Table1[[#This Row],[Revenue]]*Table1[[#This Row],[Discount]]/100)</f>
        <v>152984.51999999999</v>
      </c>
    </row>
    <row r="557" spans="1:12" x14ac:dyDescent="0.55000000000000004">
      <c r="A557" t="s">
        <v>586</v>
      </c>
      <c r="B557" s="2">
        <v>45023</v>
      </c>
      <c r="C557" t="s">
        <v>24</v>
      </c>
      <c r="D557" t="s">
        <v>16</v>
      </c>
      <c r="E557" t="s">
        <v>17</v>
      </c>
      <c r="F557" t="s">
        <v>48</v>
      </c>
      <c r="G557">
        <v>48875</v>
      </c>
      <c r="H557">
        <v>9</v>
      </c>
      <c r="I557">
        <v>25</v>
      </c>
      <c r="J557" t="s">
        <v>13</v>
      </c>
      <c r="K557" s="4">
        <f>Table1[[#This Row],[Sales]]*Table1[[#This Row],[Quantity]]</f>
        <v>439875</v>
      </c>
      <c r="L557" s="4">
        <f>Table1[[#This Row],[Revenue]]-(Table1[[#This Row],[Revenue]]*Table1[[#This Row],[Discount]]/100)</f>
        <v>329906.25</v>
      </c>
    </row>
    <row r="558" spans="1:12" x14ac:dyDescent="0.55000000000000004">
      <c r="A558" t="s">
        <v>587</v>
      </c>
      <c r="B558" s="2">
        <v>44976</v>
      </c>
      <c r="C558" t="s">
        <v>31</v>
      </c>
      <c r="D558" t="s">
        <v>46</v>
      </c>
      <c r="E558" t="s">
        <v>11</v>
      </c>
      <c r="F558" t="s">
        <v>38</v>
      </c>
      <c r="G558">
        <v>4390</v>
      </c>
      <c r="H558">
        <v>7</v>
      </c>
      <c r="I558">
        <v>24</v>
      </c>
      <c r="J558" t="s">
        <v>22</v>
      </c>
      <c r="K558" s="4">
        <f>Table1[[#This Row],[Sales]]*Table1[[#This Row],[Quantity]]</f>
        <v>30730</v>
      </c>
      <c r="L558" s="4">
        <f>Table1[[#This Row],[Revenue]]-(Table1[[#This Row],[Revenue]]*Table1[[#This Row],[Discount]]/100)</f>
        <v>23354.799999999999</v>
      </c>
    </row>
    <row r="559" spans="1:12" x14ac:dyDescent="0.55000000000000004">
      <c r="A559" t="s">
        <v>588</v>
      </c>
      <c r="B559" s="2">
        <v>45103</v>
      </c>
      <c r="C559" t="s">
        <v>31</v>
      </c>
      <c r="D559" t="s">
        <v>16</v>
      </c>
      <c r="E559" t="s">
        <v>17</v>
      </c>
      <c r="F559" t="s">
        <v>21</v>
      </c>
      <c r="G559">
        <v>30988</v>
      </c>
      <c r="H559">
        <v>1</v>
      </c>
      <c r="I559">
        <v>1</v>
      </c>
      <c r="J559" t="s">
        <v>22</v>
      </c>
      <c r="K559" s="4">
        <f>Table1[[#This Row],[Sales]]*Table1[[#This Row],[Quantity]]</f>
        <v>30988</v>
      </c>
      <c r="L559" s="4">
        <f>Table1[[#This Row],[Revenue]]-(Table1[[#This Row],[Revenue]]*Table1[[#This Row],[Discount]]/100)</f>
        <v>30678.12</v>
      </c>
    </row>
    <row r="560" spans="1:12" x14ac:dyDescent="0.55000000000000004">
      <c r="A560" t="s">
        <v>589</v>
      </c>
      <c r="B560" s="2">
        <v>45033</v>
      </c>
      <c r="C560" t="s">
        <v>15</v>
      </c>
      <c r="D560" t="s">
        <v>20</v>
      </c>
      <c r="E560" t="s">
        <v>17</v>
      </c>
      <c r="F560" t="s">
        <v>34</v>
      </c>
      <c r="G560">
        <v>35144</v>
      </c>
      <c r="H560">
        <v>6</v>
      </c>
      <c r="I560">
        <v>2</v>
      </c>
      <c r="J560" t="s">
        <v>22</v>
      </c>
      <c r="K560" s="4">
        <f>Table1[[#This Row],[Sales]]*Table1[[#This Row],[Quantity]]</f>
        <v>210864</v>
      </c>
      <c r="L560" s="4">
        <f>Table1[[#This Row],[Revenue]]-(Table1[[#This Row],[Revenue]]*Table1[[#This Row],[Discount]]/100)</f>
        <v>206646.72</v>
      </c>
    </row>
    <row r="561" spans="1:12" x14ac:dyDescent="0.55000000000000004">
      <c r="A561" t="s">
        <v>590</v>
      </c>
      <c r="B561" s="2">
        <v>45282</v>
      </c>
      <c r="C561" t="s">
        <v>31</v>
      </c>
      <c r="D561" t="s">
        <v>27</v>
      </c>
      <c r="E561" t="s">
        <v>11</v>
      </c>
      <c r="F561" t="s">
        <v>48</v>
      </c>
      <c r="G561">
        <v>41729</v>
      </c>
      <c r="H561">
        <v>5</v>
      </c>
      <c r="I561">
        <v>22</v>
      </c>
      <c r="J561" t="s">
        <v>13</v>
      </c>
      <c r="K561" s="4">
        <f>Table1[[#This Row],[Sales]]*Table1[[#This Row],[Quantity]]</f>
        <v>208645</v>
      </c>
      <c r="L561" s="4">
        <f>Table1[[#This Row],[Revenue]]-(Table1[[#This Row],[Revenue]]*Table1[[#This Row],[Discount]]/100)</f>
        <v>162743.1</v>
      </c>
    </row>
    <row r="562" spans="1:12" x14ac:dyDescent="0.55000000000000004">
      <c r="A562" t="s">
        <v>591</v>
      </c>
      <c r="B562" s="2">
        <v>44966</v>
      </c>
      <c r="C562" t="s">
        <v>31</v>
      </c>
      <c r="D562" t="s">
        <v>16</v>
      </c>
      <c r="E562" t="s">
        <v>11</v>
      </c>
      <c r="F562" t="s">
        <v>12</v>
      </c>
      <c r="G562">
        <v>2469</v>
      </c>
      <c r="H562">
        <v>4</v>
      </c>
      <c r="I562">
        <v>22</v>
      </c>
      <c r="J562" t="s">
        <v>25</v>
      </c>
      <c r="K562" s="4">
        <f>Table1[[#This Row],[Sales]]*Table1[[#This Row],[Quantity]]</f>
        <v>9876</v>
      </c>
      <c r="L562" s="4">
        <f>Table1[[#This Row],[Revenue]]-(Table1[[#This Row],[Revenue]]*Table1[[#This Row],[Discount]]/100)</f>
        <v>7703.2800000000007</v>
      </c>
    </row>
    <row r="563" spans="1:12" x14ac:dyDescent="0.55000000000000004">
      <c r="A563" t="s">
        <v>592</v>
      </c>
      <c r="B563" s="2">
        <v>45060</v>
      </c>
      <c r="C563" t="s">
        <v>19</v>
      </c>
      <c r="D563" t="s">
        <v>46</v>
      </c>
      <c r="E563" t="s">
        <v>17</v>
      </c>
      <c r="F563" t="s">
        <v>38</v>
      </c>
      <c r="G563">
        <v>7060</v>
      </c>
      <c r="H563">
        <v>2</v>
      </c>
      <c r="I563">
        <v>4</v>
      </c>
      <c r="J563" t="s">
        <v>13</v>
      </c>
      <c r="K563" s="4">
        <f>Table1[[#This Row],[Sales]]*Table1[[#This Row],[Quantity]]</f>
        <v>14120</v>
      </c>
      <c r="L563" s="4">
        <f>Table1[[#This Row],[Revenue]]-(Table1[[#This Row],[Revenue]]*Table1[[#This Row],[Discount]]/100)</f>
        <v>13555.2</v>
      </c>
    </row>
    <row r="564" spans="1:12" x14ac:dyDescent="0.55000000000000004">
      <c r="A564" t="s">
        <v>593</v>
      </c>
      <c r="B564" s="2">
        <v>45116</v>
      </c>
      <c r="C564" t="s">
        <v>24</v>
      </c>
      <c r="D564" t="s">
        <v>16</v>
      </c>
      <c r="E564" t="s">
        <v>11</v>
      </c>
      <c r="F564" t="s">
        <v>12</v>
      </c>
      <c r="G564">
        <v>42313</v>
      </c>
      <c r="H564">
        <v>7</v>
      </c>
      <c r="I564">
        <v>12</v>
      </c>
      <c r="J564" t="s">
        <v>25</v>
      </c>
      <c r="K564" s="4">
        <f>Table1[[#This Row],[Sales]]*Table1[[#This Row],[Quantity]]</f>
        <v>296191</v>
      </c>
      <c r="L564" s="4">
        <f>Table1[[#This Row],[Revenue]]-(Table1[[#This Row],[Revenue]]*Table1[[#This Row],[Discount]]/100)</f>
        <v>260648.08000000002</v>
      </c>
    </row>
    <row r="565" spans="1:12" x14ac:dyDescent="0.55000000000000004">
      <c r="A565" t="s">
        <v>594</v>
      </c>
      <c r="B565" s="2">
        <v>45248</v>
      </c>
      <c r="C565" t="s">
        <v>24</v>
      </c>
      <c r="D565" t="s">
        <v>16</v>
      </c>
      <c r="E565" t="s">
        <v>11</v>
      </c>
      <c r="F565" t="s">
        <v>29</v>
      </c>
      <c r="G565">
        <v>66</v>
      </c>
      <c r="H565">
        <v>5</v>
      </c>
      <c r="I565">
        <v>19</v>
      </c>
      <c r="J565" t="s">
        <v>22</v>
      </c>
      <c r="K565" s="4">
        <f>Table1[[#This Row],[Sales]]*Table1[[#This Row],[Quantity]]</f>
        <v>330</v>
      </c>
      <c r="L565" s="4">
        <f>Table1[[#This Row],[Revenue]]-(Table1[[#This Row],[Revenue]]*Table1[[#This Row],[Discount]]/100)</f>
        <v>267.3</v>
      </c>
    </row>
    <row r="566" spans="1:12" x14ac:dyDescent="0.55000000000000004">
      <c r="A566" t="s">
        <v>595</v>
      </c>
      <c r="B566" s="2">
        <v>44950</v>
      </c>
      <c r="C566" t="s">
        <v>19</v>
      </c>
      <c r="D566" t="s">
        <v>20</v>
      </c>
      <c r="E566" t="s">
        <v>11</v>
      </c>
      <c r="F566" t="s">
        <v>12</v>
      </c>
      <c r="G566">
        <v>19728</v>
      </c>
      <c r="H566">
        <v>7</v>
      </c>
      <c r="I566">
        <v>9</v>
      </c>
      <c r="J566" t="s">
        <v>22</v>
      </c>
      <c r="K566" s="4">
        <f>Table1[[#This Row],[Sales]]*Table1[[#This Row],[Quantity]]</f>
        <v>138096</v>
      </c>
      <c r="L566" s="4">
        <f>Table1[[#This Row],[Revenue]]-(Table1[[#This Row],[Revenue]]*Table1[[#This Row],[Discount]]/100)</f>
        <v>125667.36</v>
      </c>
    </row>
    <row r="567" spans="1:12" x14ac:dyDescent="0.55000000000000004">
      <c r="A567" t="s">
        <v>596</v>
      </c>
      <c r="B567" s="2">
        <v>45094</v>
      </c>
      <c r="C567" t="s">
        <v>19</v>
      </c>
      <c r="D567" t="s">
        <v>16</v>
      </c>
      <c r="E567" t="s">
        <v>17</v>
      </c>
      <c r="F567" t="s">
        <v>12</v>
      </c>
      <c r="G567">
        <v>16285</v>
      </c>
      <c r="H567">
        <v>5</v>
      </c>
      <c r="I567">
        <v>16</v>
      </c>
      <c r="J567" t="s">
        <v>25</v>
      </c>
      <c r="K567" s="4">
        <f>Table1[[#This Row],[Sales]]*Table1[[#This Row],[Quantity]]</f>
        <v>81425</v>
      </c>
      <c r="L567" s="4">
        <f>Table1[[#This Row],[Revenue]]-(Table1[[#This Row],[Revenue]]*Table1[[#This Row],[Discount]]/100)</f>
        <v>68397</v>
      </c>
    </row>
    <row r="568" spans="1:12" x14ac:dyDescent="0.55000000000000004">
      <c r="A568" t="s">
        <v>597</v>
      </c>
      <c r="B568" s="2">
        <v>45242</v>
      </c>
      <c r="C568" t="s">
        <v>24</v>
      </c>
      <c r="D568" t="s">
        <v>46</v>
      </c>
      <c r="E568" t="s">
        <v>17</v>
      </c>
      <c r="F568" t="s">
        <v>29</v>
      </c>
      <c r="G568">
        <v>36908</v>
      </c>
      <c r="H568">
        <v>2</v>
      </c>
      <c r="I568">
        <v>5</v>
      </c>
      <c r="J568" t="s">
        <v>13</v>
      </c>
      <c r="K568" s="4">
        <f>Table1[[#This Row],[Sales]]*Table1[[#This Row],[Quantity]]</f>
        <v>73816</v>
      </c>
      <c r="L568" s="4">
        <f>Table1[[#This Row],[Revenue]]-(Table1[[#This Row],[Revenue]]*Table1[[#This Row],[Discount]]/100)</f>
        <v>70125.2</v>
      </c>
    </row>
    <row r="569" spans="1:12" x14ac:dyDescent="0.55000000000000004">
      <c r="A569" t="s">
        <v>598</v>
      </c>
      <c r="B569" s="2">
        <v>44975</v>
      </c>
      <c r="C569" t="s">
        <v>19</v>
      </c>
      <c r="D569" t="s">
        <v>46</v>
      </c>
      <c r="E569" t="s">
        <v>17</v>
      </c>
      <c r="F569" t="s">
        <v>48</v>
      </c>
      <c r="G569">
        <v>44842</v>
      </c>
      <c r="H569">
        <v>1</v>
      </c>
      <c r="I569">
        <v>5</v>
      </c>
      <c r="J569" t="s">
        <v>13</v>
      </c>
      <c r="K569" s="4">
        <f>Table1[[#This Row],[Sales]]*Table1[[#This Row],[Quantity]]</f>
        <v>44842</v>
      </c>
      <c r="L569" s="4">
        <f>Table1[[#This Row],[Revenue]]-(Table1[[#This Row],[Revenue]]*Table1[[#This Row],[Discount]]/100)</f>
        <v>42599.9</v>
      </c>
    </row>
    <row r="570" spans="1:12" x14ac:dyDescent="0.55000000000000004">
      <c r="A570" t="s">
        <v>599</v>
      </c>
      <c r="B570" s="2">
        <v>45063</v>
      </c>
      <c r="C570" t="s">
        <v>19</v>
      </c>
      <c r="D570" t="s">
        <v>46</v>
      </c>
      <c r="E570" t="s">
        <v>11</v>
      </c>
      <c r="F570" t="s">
        <v>48</v>
      </c>
      <c r="G570">
        <v>15407</v>
      </c>
      <c r="H570">
        <v>5</v>
      </c>
      <c r="I570">
        <v>23</v>
      </c>
      <c r="J570" t="s">
        <v>13</v>
      </c>
      <c r="K570" s="4">
        <f>Table1[[#This Row],[Sales]]*Table1[[#This Row],[Quantity]]</f>
        <v>77035</v>
      </c>
      <c r="L570" s="4">
        <f>Table1[[#This Row],[Revenue]]-(Table1[[#This Row],[Revenue]]*Table1[[#This Row],[Discount]]/100)</f>
        <v>59316.95</v>
      </c>
    </row>
    <row r="571" spans="1:12" x14ac:dyDescent="0.55000000000000004">
      <c r="A571" t="s">
        <v>600</v>
      </c>
      <c r="B571" s="2">
        <v>44962</v>
      </c>
      <c r="C571" t="s">
        <v>31</v>
      </c>
      <c r="D571" t="s">
        <v>20</v>
      </c>
      <c r="E571" t="s">
        <v>11</v>
      </c>
      <c r="F571" t="s">
        <v>38</v>
      </c>
      <c r="G571">
        <v>18882</v>
      </c>
      <c r="H571">
        <v>1</v>
      </c>
      <c r="I571">
        <v>6</v>
      </c>
      <c r="J571" t="s">
        <v>13</v>
      </c>
      <c r="K571" s="4">
        <f>Table1[[#This Row],[Sales]]*Table1[[#This Row],[Quantity]]</f>
        <v>18882</v>
      </c>
      <c r="L571" s="4">
        <f>Table1[[#This Row],[Revenue]]-(Table1[[#This Row],[Revenue]]*Table1[[#This Row],[Discount]]/100)</f>
        <v>17749.080000000002</v>
      </c>
    </row>
    <row r="572" spans="1:12" x14ac:dyDescent="0.55000000000000004">
      <c r="A572" t="s">
        <v>601</v>
      </c>
      <c r="B572" s="2">
        <v>44948</v>
      </c>
      <c r="C572" t="s">
        <v>15</v>
      </c>
      <c r="D572" t="s">
        <v>46</v>
      </c>
      <c r="E572" t="s">
        <v>17</v>
      </c>
      <c r="F572" t="s">
        <v>44</v>
      </c>
      <c r="G572">
        <v>3889</v>
      </c>
      <c r="H572">
        <v>9</v>
      </c>
      <c r="I572">
        <v>26</v>
      </c>
      <c r="J572" t="s">
        <v>22</v>
      </c>
      <c r="K572" s="4">
        <f>Table1[[#This Row],[Sales]]*Table1[[#This Row],[Quantity]]</f>
        <v>35001</v>
      </c>
      <c r="L572" s="4">
        <f>Table1[[#This Row],[Revenue]]-(Table1[[#This Row],[Revenue]]*Table1[[#This Row],[Discount]]/100)</f>
        <v>25900.739999999998</v>
      </c>
    </row>
    <row r="573" spans="1:12" x14ac:dyDescent="0.55000000000000004">
      <c r="A573" t="s">
        <v>602</v>
      </c>
      <c r="B573" s="2">
        <v>44943</v>
      </c>
      <c r="C573" t="s">
        <v>19</v>
      </c>
      <c r="D573" t="s">
        <v>16</v>
      </c>
      <c r="E573" t="s">
        <v>17</v>
      </c>
      <c r="F573" t="s">
        <v>48</v>
      </c>
      <c r="G573">
        <v>1688</v>
      </c>
      <c r="H573">
        <v>4</v>
      </c>
      <c r="I573">
        <v>23</v>
      </c>
      <c r="J573" t="s">
        <v>25</v>
      </c>
      <c r="K573" s="4">
        <f>Table1[[#This Row],[Sales]]*Table1[[#This Row],[Quantity]]</f>
        <v>6752</v>
      </c>
      <c r="L573" s="4">
        <f>Table1[[#This Row],[Revenue]]-(Table1[[#This Row],[Revenue]]*Table1[[#This Row],[Discount]]/100)</f>
        <v>5199.04</v>
      </c>
    </row>
    <row r="574" spans="1:12" x14ac:dyDescent="0.55000000000000004">
      <c r="A574" t="s">
        <v>603</v>
      </c>
      <c r="B574" s="2">
        <v>45054</v>
      </c>
      <c r="C574" t="s">
        <v>19</v>
      </c>
      <c r="D574" t="s">
        <v>46</v>
      </c>
      <c r="E574" t="s">
        <v>11</v>
      </c>
      <c r="F574" t="s">
        <v>38</v>
      </c>
      <c r="G574">
        <v>49393</v>
      </c>
      <c r="H574">
        <v>10</v>
      </c>
      <c r="I574">
        <v>24</v>
      </c>
      <c r="J574" t="s">
        <v>25</v>
      </c>
      <c r="K574" s="4">
        <f>Table1[[#This Row],[Sales]]*Table1[[#This Row],[Quantity]]</f>
        <v>493930</v>
      </c>
      <c r="L574" s="4">
        <f>Table1[[#This Row],[Revenue]]-(Table1[[#This Row],[Revenue]]*Table1[[#This Row],[Discount]]/100)</f>
        <v>375386.8</v>
      </c>
    </row>
    <row r="575" spans="1:12" x14ac:dyDescent="0.55000000000000004">
      <c r="A575" t="s">
        <v>604</v>
      </c>
      <c r="B575" s="2">
        <v>45107</v>
      </c>
      <c r="C575" t="s">
        <v>24</v>
      </c>
      <c r="D575" t="s">
        <v>16</v>
      </c>
      <c r="E575" t="s">
        <v>11</v>
      </c>
      <c r="F575" t="s">
        <v>12</v>
      </c>
      <c r="G575">
        <v>35751</v>
      </c>
      <c r="H575">
        <v>6</v>
      </c>
      <c r="I575">
        <v>29</v>
      </c>
      <c r="J575" t="s">
        <v>25</v>
      </c>
      <c r="K575" s="4">
        <f>Table1[[#This Row],[Sales]]*Table1[[#This Row],[Quantity]]</f>
        <v>214506</v>
      </c>
      <c r="L575" s="4">
        <f>Table1[[#This Row],[Revenue]]-(Table1[[#This Row],[Revenue]]*Table1[[#This Row],[Discount]]/100)</f>
        <v>152299.26</v>
      </c>
    </row>
    <row r="576" spans="1:12" x14ac:dyDescent="0.55000000000000004">
      <c r="A576" t="s">
        <v>605</v>
      </c>
      <c r="B576" s="2">
        <v>45047</v>
      </c>
      <c r="C576" t="s">
        <v>24</v>
      </c>
      <c r="D576" t="s">
        <v>37</v>
      </c>
      <c r="E576" t="s">
        <v>11</v>
      </c>
      <c r="F576" t="s">
        <v>29</v>
      </c>
      <c r="G576">
        <v>22435</v>
      </c>
      <c r="H576">
        <v>2</v>
      </c>
      <c r="I576">
        <v>2</v>
      </c>
      <c r="J576" t="s">
        <v>25</v>
      </c>
      <c r="K576" s="4">
        <f>Table1[[#This Row],[Sales]]*Table1[[#This Row],[Quantity]]</f>
        <v>44870</v>
      </c>
      <c r="L576" s="4">
        <f>Table1[[#This Row],[Revenue]]-(Table1[[#This Row],[Revenue]]*Table1[[#This Row],[Discount]]/100)</f>
        <v>43972.6</v>
      </c>
    </row>
    <row r="577" spans="1:12" x14ac:dyDescent="0.55000000000000004">
      <c r="A577" t="s">
        <v>606</v>
      </c>
      <c r="B577" s="2">
        <v>45038</v>
      </c>
      <c r="C577" t="s">
        <v>31</v>
      </c>
      <c r="D577" t="s">
        <v>20</v>
      </c>
      <c r="E577" t="s">
        <v>11</v>
      </c>
      <c r="F577" t="s">
        <v>34</v>
      </c>
      <c r="G577">
        <v>21627</v>
      </c>
      <c r="H577">
        <v>6</v>
      </c>
      <c r="I577">
        <v>7</v>
      </c>
      <c r="J577" t="s">
        <v>22</v>
      </c>
      <c r="K577" s="4">
        <f>Table1[[#This Row],[Sales]]*Table1[[#This Row],[Quantity]]</f>
        <v>129762</v>
      </c>
      <c r="L577" s="4">
        <f>Table1[[#This Row],[Revenue]]-(Table1[[#This Row],[Revenue]]*Table1[[#This Row],[Discount]]/100)</f>
        <v>120678.66</v>
      </c>
    </row>
    <row r="578" spans="1:12" x14ac:dyDescent="0.55000000000000004">
      <c r="A578" t="s">
        <v>607</v>
      </c>
      <c r="B578" s="2">
        <v>45042</v>
      </c>
      <c r="C578" t="s">
        <v>15</v>
      </c>
      <c r="D578" t="s">
        <v>16</v>
      </c>
      <c r="E578" t="s">
        <v>11</v>
      </c>
      <c r="F578" t="s">
        <v>44</v>
      </c>
      <c r="G578">
        <v>21292</v>
      </c>
      <c r="H578">
        <v>4</v>
      </c>
      <c r="I578">
        <v>3</v>
      </c>
      <c r="J578" t="s">
        <v>25</v>
      </c>
      <c r="K578" s="4">
        <f>Table1[[#This Row],[Sales]]*Table1[[#This Row],[Quantity]]</f>
        <v>85168</v>
      </c>
      <c r="L578" s="4">
        <f>Table1[[#This Row],[Revenue]]-(Table1[[#This Row],[Revenue]]*Table1[[#This Row],[Discount]]/100)</f>
        <v>82612.960000000006</v>
      </c>
    </row>
    <row r="579" spans="1:12" x14ac:dyDescent="0.55000000000000004">
      <c r="A579" t="s">
        <v>608</v>
      </c>
      <c r="B579" s="2">
        <v>45041</v>
      </c>
      <c r="C579" t="s">
        <v>19</v>
      </c>
      <c r="D579" t="s">
        <v>46</v>
      </c>
      <c r="E579" t="s">
        <v>17</v>
      </c>
      <c r="F579" t="s">
        <v>38</v>
      </c>
      <c r="G579">
        <v>14476</v>
      </c>
      <c r="H579">
        <v>4</v>
      </c>
      <c r="I579">
        <v>4</v>
      </c>
      <c r="J579" t="s">
        <v>22</v>
      </c>
      <c r="K579" s="4">
        <f>Table1[[#This Row],[Sales]]*Table1[[#This Row],[Quantity]]</f>
        <v>57904</v>
      </c>
      <c r="L579" s="4">
        <f>Table1[[#This Row],[Revenue]]-(Table1[[#This Row],[Revenue]]*Table1[[#This Row],[Discount]]/100)</f>
        <v>55587.839999999997</v>
      </c>
    </row>
    <row r="580" spans="1:12" x14ac:dyDescent="0.55000000000000004">
      <c r="A580" t="s">
        <v>609</v>
      </c>
      <c r="B580" s="2">
        <v>44939</v>
      </c>
      <c r="C580" t="s">
        <v>15</v>
      </c>
      <c r="D580" t="s">
        <v>46</v>
      </c>
      <c r="E580" t="s">
        <v>11</v>
      </c>
      <c r="F580" t="s">
        <v>38</v>
      </c>
      <c r="G580">
        <v>11627</v>
      </c>
      <c r="H580">
        <v>7</v>
      </c>
      <c r="I580">
        <v>8</v>
      </c>
      <c r="J580" t="s">
        <v>22</v>
      </c>
      <c r="K580" s="4">
        <f>Table1[[#This Row],[Sales]]*Table1[[#This Row],[Quantity]]</f>
        <v>81389</v>
      </c>
      <c r="L580" s="4">
        <f>Table1[[#This Row],[Revenue]]-(Table1[[#This Row],[Revenue]]*Table1[[#This Row],[Discount]]/100)</f>
        <v>74877.88</v>
      </c>
    </row>
    <row r="581" spans="1:12" x14ac:dyDescent="0.55000000000000004">
      <c r="A581" t="s">
        <v>610</v>
      </c>
      <c r="B581" s="2">
        <v>45117</v>
      </c>
      <c r="C581" t="s">
        <v>15</v>
      </c>
      <c r="D581" t="s">
        <v>20</v>
      </c>
      <c r="E581" t="s">
        <v>17</v>
      </c>
      <c r="F581" t="s">
        <v>48</v>
      </c>
      <c r="G581">
        <v>26659</v>
      </c>
      <c r="H581">
        <v>8</v>
      </c>
      <c r="I581">
        <v>9</v>
      </c>
      <c r="J581" t="s">
        <v>22</v>
      </c>
      <c r="K581" s="4">
        <f>Table1[[#This Row],[Sales]]*Table1[[#This Row],[Quantity]]</f>
        <v>213272</v>
      </c>
      <c r="L581" s="4">
        <f>Table1[[#This Row],[Revenue]]-(Table1[[#This Row],[Revenue]]*Table1[[#This Row],[Discount]]/100)</f>
        <v>194077.52</v>
      </c>
    </row>
    <row r="582" spans="1:12" x14ac:dyDescent="0.55000000000000004">
      <c r="A582" t="s">
        <v>611</v>
      </c>
      <c r="B582" s="2">
        <v>45097</v>
      </c>
      <c r="C582" t="s">
        <v>31</v>
      </c>
      <c r="D582" t="s">
        <v>20</v>
      </c>
      <c r="E582" t="s">
        <v>17</v>
      </c>
      <c r="F582" t="s">
        <v>38</v>
      </c>
      <c r="G582">
        <v>14819</v>
      </c>
      <c r="H582">
        <v>10</v>
      </c>
      <c r="I582">
        <v>10</v>
      </c>
      <c r="J582" t="s">
        <v>25</v>
      </c>
      <c r="K582" s="4">
        <f>Table1[[#This Row],[Sales]]*Table1[[#This Row],[Quantity]]</f>
        <v>148190</v>
      </c>
      <c r="L582" s="4">
        <f>Table1[[#This Row],[Revenue]]-(Table1[[#This Row],[Revenue]]*Table1[[#This Row],[Discount]]/100)</f>
        <v>133371</v>
      </c>
    </row>
    <row r="583" spans="1:12" x14ac:dyDescent="0.55000000000000004">
      <c r="A583" t="s">
        <v>612</v>
      </c>
      <c r="B583" s="2">
        <v>45098</v>
      </c>
      <c r="C583" t="s">
        <v>24</v>
      </c>
      <c r="D583" t="s">
        <v>37</v>
      </c>
      <c r="E583" t="s">
        <v>17</v>
      </c>
      <c r="F583" t="s">
        <v>29</v>
      </c>
      <c r="G583">
        <v>4230</v>
      </c>
      <c r="H583">
        <v>10</v>
      </c>
      <c r="I583">
        <v>27</v>
      </c>
      <c r="J583" t="s">
        <v>13</v>
      </c>
      <c r="K583" s="4">
        <f>Table1[[#This Row],[Sales]]*Table1[[#This Row],[Quantity]]</f>
        <v>42300</v>
      </c>
      <c r="L583" s="4">
        <f>Table1[[#This Row],[Revenue]]-(Table1[[#This Row],[Revenue]]*Table1[[#This Row],[Discount]]/100)</f>
        <v>30879</v>
      </c>
    </row>
    <row r="584" spans="1:12" x14ac:dyDescent="0.55000000000000004">
      <c r="A584" t="s">
        <v>613</v>
      </c>
      <c r="B584" s="2">
        <v>44971</v>
      </c>
      <c r="C584" t="s">
        <v>15</v>
      </c>
      <c r="D584" t="s">
        <v>37</v>
      </c>
      <c r="E584" t="s">
        <v>17</v>
      </c>
      <c r="F584" t="s">
        <v>38</v>
      </c>
      <c r="G584">
        <v>24871</v>
      </c>
      <c r="H584">
        <v>6</v>
      </c>
      <c r="I584">
        <v>20</v>
      </c>
      <c r="J584" t="s">
        <v>13</v>
      </c>
      <c r="K584" s="4">
        <f>Table1[[#This Row],[Sales]]*Table1[[#This Row],[Quantity]]</f>
        <v>149226</v>
      </c>
      <c r="L584" s="4">
        <f>Table1[[#This Row],[Revenue]]-(Table1[[#This Row],[Revenue]]*Table1[[#This Row],[Discount]]/100)</f>
        <v>119380.8</v>
      </c>
    </row>
    <row r="585" spans="1:12" x14ac:dyDescent="0.55000000000000004">
      <c r="A585" t="s">
        <v>614</v>
      </c>
      <c r="B585" s="2">
        <v>45009</v>
      </c>
      <c r="C585" t="s">
        <v>24</v>
      </c>
      <c r="D585" t="s">
        <v>37</v>
      </c>
      <c r="E585" t="s">
        <v>11</v>
      </c>
      <c r="F585" t="s">
        <v>34</v>
      </c>
      <c r="G585">
        <v>18704</v>
      </c>
      <c r="H585">
        <v>6</v>
      </c>
      <c r="I585">
        <v>22</v>
      </c>
      <c r="J585" t="s">
        <v>13</v>
      </c>
      <c r="K585" s="4">
        <f>Table1[[#This Row],[Sales]]*Table1[[#This Row],[Quantity]]</f>
        <v>112224</v>
      </c>
      <c r="L585" s="4">
        <f>Table1[[#This Row],[Revenue]]-(Table1[[#This Row],[Revenue]]*Table1[[#This Row],[Discount]]/100)</f>
        <v>87534.720000000001</v>
      </c>
    </row>
    <row r="586" spans="1:12" x14ac:dyDescent="0.55000000000000004">
      <c r="A586" t="s">
        <v>615</v>
      </c>
      <c r="B586" s="2">
        <v>44935</v>
      </c>
      <c r="C586" t="s">
        <v>19</v>
      </c>
      <c r="D586" t="s">
        <v>37</v>
      </c>
      <c r="E586" t="s">
        <v>17</v>
      </c>
      <c r="F586" t="s">
        <v>48</v>
      </c>
      <c r="G586">
        <v>10243</v>
      </c>
      <c r="H586">
        <v>4</v>
      </c>
      <c r="I586">
        <v>11</v>
      </c>
      <c r="J586" t="s">
        <v>25</v>
      </c>
      <c r="K586" s="4">
        <f>Table1[[#This Row],[Sales]]*Table1[[#This Row],[Quantity]]</f>
        <v>40972</v>
      </c>
      <c r="L586" s="4">
        <f>Table1[[#This Row],[Revenue]]-(Table1[[#This Row],[Revenue]]*Table1[[#This Row],[Discount]]/100)</f>
        <v>36465.08</v>
      </c>
    </row>
    <row r="587" spans="1:12" x14ac:dyDescent="0.55000000000000004">
      <c r="A587" t="s">
        <v>616</v>
      </c>
      <c r="B587" s="2">
        <v>45087</v>
      </c>
      <c r="C587" t="s">
        <v>24</v>
      </c>
      <c r="D587" t="s">
        <v>20</v>
      </c>
      <c r="E587" t="s">
        <v>17</v>
      </c>
      <c r="F587" t="s">
        <v>34</v>
      </c>
      <c r="G587">
        <v>7436</v>
      </c>
      <c r="H587">
        <v>3</v>
      </c>
      <c r="I587">
        <v>6</v>
      </c>
      <c r="J587" t="s">
        <v>22</v>
      </c>
      <c r="K587" s="4">
        <f>Table1[[#This Row],[Sales]]*Table1[[#This Row],[Quantity]]</f>
        <v>22308</v>
      </c>
      <c r="L587" s="4">
        <f>Table1[[#This Row],[Revenue]]-(Table1[[#This Row],[Revenue]]*Table1[[#This Row],[Discount]]/100)</f>
        <v>20969.52</v>
      </c>
    </row>
    <row r="588" spans="1:12" x14ac:dyDescent="0.55000000000000004">
      <c r="A588" t="s">
        <v>617</v>
      </c>
      <c r="B588" s="2">
        <v>44991</v>
      </c>
      <c r="C588" t="s">
        <v>15</v>
      </c>
      <c r="D588" t="s">
        <v>16</v>
      </c>
      <c r="E588" t="s">
        <v>17</v>
      </c>
      <c r="F588" t="s">
        <v>12</v>
      </c>
      <c r="G588">
        <v>19494</v>
      </c>
      <c r="H588">
        <v>1</v>
      </c>
      <c r="I588">
        <v>16</v>
      </c>
      <c r="J588" t="s">
        <v>13</v>
      </c>
      <c r="K588" s="4">
        <f>Table1[[#This Row],[Sales]]*Table1[[#This Row],[Quantity]]</f>
        <v>19494</v>
      </c>
      <c r="L588" s="4">
        <f>Table1[[#This Row],[Revenue]]-(Table1[[#This Row],[Revenue]]*Table1[[#This Row],[Discount]]/100)</f>
        <v>16374.96</v>
      </c>
    </row>
    <row r="589" spans="1:12" x14ac:dyDescent="0.55000000000000004">
      <c r="A589" t="s">
        <v>618</v>
      </c>
      <c r="B589" s="2">
        <v>45130</v>
      </c>
      <c r="C589" t="s">
        <v>24</v>
      </c>
      <c r="D589" t="s">
        <v>37</v>
      </c>
      <c r="E589" t="s">
        <v>17</v>
      </c>
      <c r="F589" t="s">
        <v>48</v>
      </c>
      <c r="G589">
        <v>16830</v>
      </c>
      <c r="H589">
        <v>6</v>
      </c>
      <c r="I589">
        <v>6</v>
      </c>
      <c r="J589" t="s">
        <v>22</v>
      </c>
      <c r="K589" s="4">
        <f>Table1[[#This Row],[Sales]]*Table1[[#This Row],[Quantity]]</f>
        <v>100980</v>
      </c>
      <c r="L589" s="4">
        <f>Table1[[#This Row],[Revenue]]-(Table1[[#This Row],[Revenue]]*Table1[[#This Row],[Discount]]/100)</f>
        <v>94921.2</v>
      </c>
    </row>
    <row r="590" spans="1:12" x14ac:dyDescent="0.55000000000000004">
      <c r="A590" t="s">
        <v>619</v>
      </c>
      <c r="B590" s="2">
        <v>45173</v>
      </c>
      <c r="C590" t="s">
        <v>31</v>
      </c>
      <c r="D590" t="s">
        <v>37</v>
      </c>
      <c r="E590" t="s">
        <v>11</v>
      </c>
      <c r="F590" t="s">
        <v>48</v>
      </c>
      <c r="G590">
        <v>22115</v>
      </c>
      <c r="H590">
        <v>2</v>
      </c>
      <c r="I590">
        <v>4</v>
      </c>
      <c r="J590" t="s">
        <v>22</v>
      </c>
      <c r="K590" s="4">
        <f>Table1[[#This Row],[Sales]]*Table1[[#This Row],[Quantity]]</f>
        <v>44230</v>
      </c>
      <c r="L590" s="4">
        <f>Table1[[#This Row],[Revenue]]-(Table1[[#This Row],[Revenue]]*Table1[[#This Row],[Discount]]/100)</f>
        <v>42460.800000000003</v>
      </c>
    </row>
    <row r="591" spans="1:12" x14ac:dyDescent="0.55000000000000004">
      <c r="A591" t="s">
        <v>620</v>
      </c>
      <c r="B591" s="2">
        <v>45281</v>
      </c>
      <c r="C591" t="s">
        <v>15</v>
      </c>
      <c r="D591" t="s">
        <v>37</v>
      </c>
      <c r="E591" t="s">
        <v>11</v>
      </c>
      <c r="F591" t="s">
        <v>38</v>
      </c>
      <c r="G591">
        <v>42246</v>
      </c>
      <c r="H591">
        <v>3</v>
      </c>
      <c r="I591">
        <v>18</v>
      </c>
      <c r="J591" t="s">
        <v>13</v>
      </c>
      <c r="K591" s="4">
        <f>Table1[[#This Row],[Sales]]*Table1[[#This Row],[Quantity]]</f>
        <v>126738</v>
      </c>
      <c r="L591" s="4">
        <f>Table1[[#This Row],[Revenue]]-(Table1[[#This Row],[Revenue]]*Table1[[#This Row],[Discount]]/100)</f>
        <v>103925.16</v>
      </c>
    </row>
    <row r="592" spans="1:12" x14ac:dyDescent="0.55000000000000004">
      <c r="A592" t="s">
        <v>621</v>
      </c>
      <c r="B592" s="2">
        <v>45269</v>
      </c>
      <c r="C592" t="s">
        <v>31</v>
      </c>
      <c r="D592" t="s">
        <v>20</v>
      </c>
      <c r="E592" t="s">
        <v>11</v>
      </c>
      <c r="F592" t="s">
        <v>44</v>
      </c>
      <c r="G592">
        <v>48486</v>
      </c>
      <c r="H592">
        <v>7</v>
      </c>
      <c r="I592">
        <v>23</v>
      </c>
      <c r="J592" t="s">
        <v>25</v>
      </c>
      <c r="K592" s="4">
        <f>Table1[[#This Row],[Sales]]*Table1[[#This Row],[Quantity]]</f>
        <v>339402</v>
      </c>
      <c r="L592" s="4">
        <f>Table1[[#This Row],[Revenue]]-(Table1[[#This Row],[Revenue]]*Table1[[#This Row],[Discount]]/100)</f>
        <v>261339.53999999998</v>
      </c>
    </row>
    <row r="593" spans="1:12" x14ac:dyDescent="0.55000000000000004">
      <c r="A593" t="s">
        <v>622</v>
      </c>
      <c r="B593" s="2">
        <v>45049</v>
      </c>
      <c r="C593" t="s">
        <v>19</v>
      </c>
      <c r="D593" t="s">
        <v>46</v>
      </c>
      <c r="E593" t="s">
        <v>11</v>
      </c>
      <c r="F593" t="s">
        <v>34</v>
      </c>
      <c r="G593">
        <v>33809</v>
      </c>
      <c r="H593">
        <v>3</v>
      </c>
      <c r="I593">
        <v>24</v>
      </c>
      <c r="J593" t="s">
        <v>22</v>
      </c>
      <c r="K593" s="4">
        <f>Table1[[#This Row],[Sales]]*Table1[[#This Row],[Quantity]]</f>
        <v>101427</v>
      </c>
      <c r="L593" s="4">
        <f>Table1[[#This Row],[Revenue]]-(Table1[[#This Row],[Revenue]]*Table1[[#This Row],[Discount]]/100)</f>
        <v>77084.52</v>
      </c>
    </row>
    <row r="594" spans="1:12" x14ac:dyDescent="0.55000000000000004">
      <c r="A594" t="s">
        <v>623</v>
      </c>
      <c r="B594" s="2">
        <v>45252</v>
      </c>
      <c r="C594" t="s">
        <v>15</v>
      </c>
      <c r="D594" t="s">
        <v>16</v>
      </c>
      <c r="E594" t="s">
        <v>11</v>
      </c>
      <c r="F594" t="s">
        <v>21</v>
      </c>
      <c r="G594">
        <v>47832</v>
      </c>
      <c r="H594">
        <v>7</v>
      </c>
      <c r="I594">
        <v>24</v>
      </c>
      <c r="J594" t="s">
        <v>22</v>
      </c>
      <c r="K594" s="4">
        <f>Table1[[#This Row],[Sales]]*Table1[[#This Row],[Quantity]]</f>
        <v>334824</v>
      </c>
      <c r="L594" s="4">
        <f>Table1[[#This Row],[Revenue]]-(Table1[[#This Row],[Revenue]]*Table1[[#This Row],[Discount]]/100)</f>
        <v>254466.24</v>
      </c>
    </row>
    <row r="595" spans="1:12" x14ac:dyDescent="0.55000000000000004">
      <c r="A595" t="s">
        <v>624</v>
      </c>
      <c r="B595" s="2">
        <v>45227</v>
      </c>
      <c r="C595" t="s">
        <v>15</v>
      </c>
      <c r="D595" t="s">
        <v>46</v>
      </c>
      <c r="E595" t="s">
        <v>17</v>
      </c>
      <c r="F595" t="s">
        <v>29</v>
      </c>
      <c r="G595">
        <v>12953</v>
      </c>
      <c r="H595">
        <v>8</v>
      </c>
      <c r="I595">
        <v>19</v>
      </c>
      <c r="J595" t="s">
        <v>25</v>
      </c>
      <c r="K595" s="4">
        <f>Table1[[#This Row],[Sales]]*Table1[[#This Row],[Quantity]]</f>
        <v>103624</v>
      </c>
      <c r="L595" s="4">
        <f>Table1[[#This Row],[Revenue]]-(Table1[[#This Row],[Revenue]]*Table1[[#This Row],[Discount]]/100)</f>
        <v>83935.44</v>
      </c>
    </row>
    <row r="596" spans="1:12" x14ac:dyDescent="0.55000000000000004">
      <c r="A596" t="s">
        <v>625</v>
      </c>
      <c r="B596" s="2">
        <v>45067</v>
      </c>
      <c r="C596" t="s">
        <v>31</v>
      </c>
      <c r="D596" t="s">
        <v>20</v>
      </c>
      <c r="E596" t="s">
        <v>17</v>
      </c>
      <c r="F596" t="s">
        <v>44</v>
      </c>
      <c r="G596">
        <v>29791</v>
      </c>
      <c r="H596">
        <v>6</v>
      </c>
      <c r="I596">
        <v>24</v>
      </c>
      <c r="J596" t="s">
        <v>25</v>
      </c>
      <c r="K596" s="4">
        <f>Table1[[#This Row],[Sales]]*Table1[[#This Row],[Quantity]]</f>
        <v>178746</v>
      </c>
      <c r="L596" s="4">
        <f>Table1[[#This Row],[Revenue]]-(Table1[[#This Row],[Revenue]]*Table1[[#This Row],[Discount]]/100)</f>
        <v>135846.96</v>
      </c>
    </row>
    <row r="597" spans="1:12" x14ac:dyDescent="0.55000000000000004">
      <c r="A597" t="s">
        <v>626</v>
      </c>
      <c r="B597" s="2">
        <v>45071</v>
      </c>
      <c r="C597" t="s">
        <v>31</v>
      </c>
      <c r="D597" t="s">
        <v>37</v>
      </c>
      <c r="E597" t="s">
        <v>11</v>
      </c>
      <c r="F597" t="s">
        <v>12</v>
      </c>
      <c r="G597">
        <v>12389</v>
      </c>
      <c r="H597">
        <v>7</v>
      </c>
      <c r="I597">
        <v>3</v>
      </c>
      <c r="J597" t="s">
        <v>22</v>
      </c>
      <c r="K597" s="4">
        <f>Table1[[#This Row],[Sales]]*Table1[[#This Row],[Quantity]]</f>
        <v>86723</v>
      </c>
      <c r="L597" s="4">
        <f>Table1[[#This Row],[Revenue]]-(Table1[[#This Row],[Revenue]]*Table1[[#This Row],[Discount]]/100)</f>
        <v>84121.31</v>
      </c>
    </row>
    <row r="598" spans="1:12" x14ac:dyDescent="0.55000000000000004">
      <c r="A598" t="s">
        <v>627</v>
      </c>
      <c r="B598" s="2">
        <v>45262</v>
      </c>
      <c r="C598" t="s">
        <v>31</v>
      </c>
      <c r="D598" t="s">
        <v>20</v>
      </c>
      <c r="E598" t="s">
        <v>17</v>
      </c>
      <c r="F598" t="s">
        <v>34</v>
      </c>
      <c r="G598">
        <v>41322</v>
      </c>
      <c r="H598">
        <v>7</v>
      </c>
      <c r="I598">
        <v>23</v>
      </c>
      <c r="J598" t="s">
        <v>22</v>
      </c>
      <c r="K598" s="4">
        <f>Table1[[#This Row],[Sales]]*Table1[[#This Row],[Quantity]]</f>
        <v>289254</v>
      </c>
      <c r="L598" s="4">
        <f>Table1[[#This Row],[Revenue]]-(Table1[[#This Row],[Revenue]]*Table1[[#This Row],[Discount]]/100)</f>
        <v>222725.58000000002</v>
      </c>
    </row>
    <row r="599" spans="1:12" x14ac:dyDescent="0.55000000000000004">
      <c r="A599" t="s">
        <v>628</v>
      </c>
      <c r="B599" s="2">
        <v>45163</v>
      </c>
      <c r="C599" t="s">
        <v>31</v>
      </c>
      <c r="D599" t="s">
        <v>37</v>
      </c>
      <c r="E599" t="s">
        <v>11</v>
      </c>
      <c r="F599" t="s">
        <v>21</v>
      </c>
      <c r="G599">
        <v>22783</v>
      </c>
      <c r="H599">
        <v>2</v>
      </c>
      <c r="I599">
        <v>14</v>
      </c>
      <c r="J599" t="s">
        <v>13</v>
      </c>
      <c r="K599" s="4">
        <f>Table1[[#This Row],[Sales]]*Table1[[#This Row],[Quantity]]</f>
        <v>45566</v>
      </c>
      <c r="L599" s="4">
        <f>Table1[[#This Row],[Revenue]]-(Table1[[#This Row],[Revenue]]*Table1[[#This Row],[Discount]]/100)</f>
        <v>39186.76</v>
      </c>
    </row>
    <row r="600" spans="1:12" x14ac:dyDescent="0.55000000000000004">
      <c r="A600" t="s">
        <v>629</v>
      </c>
      <c r="B600" s="2">
        <v>44977</v>
      </c>
      <c r="C600" t="s">
        <v>24</v>
      </c>
      <c r="D600" t="s">
        <v>27</v>
      </c>
      <c r="E600" t="s">
        <v>17</v>
      </c>
      <c r="F600" t="s">
        <v>12</v>
      </c>
      <c r="G600">
        <v>23627</v>
      </c>
      <c r="H600">
        <v>3</v>
      </c>
      <c r="I600">
        <v>8</v>
      </c>
      <c r="J600" t="s">
        <v>22</v>
      </c>
      <c r="K600" s="4">
        <f>Table1[[#This Row],[Sales]]*Table1[[#This Row],[Quantity]]</f>
        <v>70881</v>
      </c>
      <c r="L600" s="4">
        <f>Table1[[#This Row],[Revenue]]-(Table1[[#This Row],[Revenue]]*Table1[[#This Row],[Discount]]/100)</f>
        <v>65210.520000000004</v>
      </c>
    </row>
    <row r="601" spans="1:12" x14ac:dyDescent="0.55000000000000004">
      <c r="A601" t="s">
        <v>630</v>
      </c>
      <c r="B601" s="2">
        <v>45158</v>
      </c>
      <c r="C601" t="s">
        <v>19</v>
      </c>
      <c r="D601" t="s">
        <v>37</v>
      </c>
      <c r="E601" t="s">
        <v>11</v>
      </c>
      <c r="F601" t="s">
        <v>48</v>
      </c>
      <c r="G601">
        <v>39255</v>
      </c>
      <c r="H601">
        <v>1</v>
      </c>
      <c r="I601">
        <v>9</v>
      </c>
      <c r="J601" t="s">
        <v>13</v>
      </c>
      <c r="K601" s="4">
        <f>Table1[[#This Row],[Sales]]*Table1[[#This Row],[Quantity]]</f>
        <v>39255</v>
      </c>
      <c r="L601" s="4">
        <f>Table1[[#This Row],[Revenue]]-(Table1[[#This Row],[Revenue]]*Table1[[#This Row],[Discount]]/100)</f>
        <v>35722.050000000003</v>
      </c>
    </row>
    <row r="602" spans="1:12" x14ac:dyDescent="0.55000000000000004">
      <c r="A602" t="s">
        <v>631</v>
      </c>
      <c r="B602" s="2">
        <v>44958</v>
      </c>
      <c r="C602" t="s">
        <v>19</v>
      </c>
      <c r="D602" t="s">
        <v>46</v>
      </c>
      <c r="E602" t="s">
        <v>11</v>
      </c>
      <c r="F602" t="s">
        <v>12</v>
      </c>
      <c r="G602">
        <v>11540</v>
      </c>
      <c r="H602">
        <v>8</v>
      </c>
      <c r="I602">
        <v>6</v>
      </c>
      <c r="J602" t="s">
        <v>22</v>
      </c>
      <c r="K602" s="4">
        <f>Table1[[#This Row],[Sales]]*Table1[[#This Row],[Quantity]]</f>
        <v>92320</v>
      </c>
      <c r="L602" s="4">
        <f>Table1[[#This Row],[Revenue]]-(Table1[[#This Row],[Revenue]]*Table1[[#This Row],[Discount]]/100)</f>
        <v>86780.800000000003</v>
      </c>
    </row>
    <row r="603" spans="1:12" x14ac:dyDescent="0.55000000000000004">
      <c r="A603" t="s">
        <v>632</v>
      </c>
      <c r="B603" s="2">
        <v>45292</v>
      </c>
      <c r="C603" t="s">
        <v>19</v>
      </c>
      <c r="D603" t="s">
        <v>46</v>
      </c>
      <c r="E603" t="s">
        <v>17</v>
      </c>
      <c r="F603" t="s">
        <v>38</v>
      </c>
      <c r="G603">
        <v>30107</v>
      </c>
      <c r="H603">
        <v>4</v>
      </c>
      <c r="I603">
        <v>21</v>
      </c>
      <c r="J603" t="s">
        <v>22</v>
      </c>
      <c r="K603" s="4">
        <f>Table1[[#This Row],[Sales]]*Table1[[#This Row],[Quantity]]</f>
        <v>120428</v>
      </c>
      <c r="L603" s="4">
        <f>Table1[[#This Row],[Revenue]]-(Table1[[#This Row],[Revenue]]*Table1[[#This Row],[Discount]]/100)</f>
        <v>95138.12</v>
      </c>
    </row>
    <row r="604" spans="1:12" x14ac:dyDescent="0.55000000000000004">
      <c r="A604" t="s">
        <v>633</v>
      </c>
      <c r="B604" s="2">
        <v>45142</v>
      </c>
      <c r="C604" t="s">
        <v>15</v>
      </c>
      <c r="D604" t="s">
        <v>16</v>
      </c>
      <c r="E604" t="s">
        <v>11</v>
      </c>
      <c r="F604" t="s">
        <v>12</v>
      </c>
      <c r="G604">
        <v>21683</v>
      </c>
      <c r="H604">
        <v>2</v>
      </c>
      <c r="I604">
        <v>21</v>
      </c>
      <c r="J604" t="s">
        <v>13</v>
      </c>
      <c r="K604" s="4">
        <f>Table1[[#This Row],[Sales]]*Table1[[#This Row],[Quantity]]</f>
        <v>43366</v>
      </c>
      <c r="L604" s="4">
        <f>Table1[[#This Row],[Revenue]]-(Table1[[#This Row],[Revenue]]*Table1[[#This Row],[Discount]]/100)</f>
        <v>34259.14</v>
      </c>
    </row>
    <row r="605" spans="1:12" x14ac:dyDescent="0.55000000000000004">
      <c r="A605" t="s">
        <v>634</v>
      </c>
      <c r="B605" s="2">
        <v>45115</v>
      </c>
      <c r="C605" t="s">
        <v>15</v>
      </c>
      <c r="D605" t="s">
        <v>46</v>
      </c>
      <c r="E605" t="s">
        <v>17</v>
      </c>
      <c r="F605" t="s">
        <v>12</v>
      </c>
      <c r="G605">
        <v>14265</v>
      </c>
      <c r="H605">
        <v>1</v>
      </c>
      <c r="I605">
        <v>26</v>
      </c>
      <c r="J605" t="s">
        <v>13</v>
      </c>
      <c r="K605" s="4">
        <f>Table1[[#This Row],[Sales]]*Table1[[#This Row],[Quantity]]</f>
        <v>14265</v>
      </c>
      <c r="L605" s="4">
        <f>Table1[[#This Row],[Revenue]]-(Table1[[#This Row],[Revenue]]*Table1[[#This Row],[Discount]]/100)</f>
        <v>10556.1</v>
      </c>
    </row>
    <row r="606" spans="1:12" x14ac:dyDescent="0.55000000000000004">
      <c r="A606" t="s">
        <v>635</v>
      </c>
      <c r="B606" s="2">
        <v>45203</v>
      </c>
      <c r="C606" t="s">
        <v>19</v>
      </c>
      <c r="D606" t="s">
        <v>27</v>
      </c>
      <c r="E606" t="s">
        <v>11</v>
      </c>
      <c r="F606" t="s">
        <v>12</v>
      </c>
      <c r="G606">
        <v>46293</v>
      </c>
      <c r="H606">
        <v>6</v>
      </c>
      <c r="I606">
        <v>30</v>
      </c>
      <c r="J606" t="s">
        <v>22</v>
      </c>
      <c r="K606" s="4">
        <f>Table1[[#This Row],[Sales]]*Table1[[#This Row],[Quantity]]</f>
        <v>277758</v>
      </c>
      <c r="L606" s="4">
        <f>Table1[[#This Row],[Revenue]]-(Table1[[#This Row],[Revenue]]*Table1[[#This Row],[Discount]]/100)</f>
        <v>194430.6</v>
      </c>
    </row>
    <row r="607" spans="1:12" x14ac:dyDescent="0.55000000000000004">
      <c r="A607" t="s">
        <v>636</v>
      </c>
      <c r="B607" s="2">
        <v>45168</v>
      </c>
      <c r="C607" t="s">
        <v>24</v>
      </c>
      <c r="D607" t="s">
        <v>20</v>
      </c>
      <c r="E607" t="s">
        <v>11</v>
      </c>
      <c r="F607" t="s">
        <v>12</v>
      </c>
      <c r="G607">
        <v>24388</v>
      </c>
      <c r="H607">
        <v>8</v>
      </c>
      <c r="I607">
        <v>30</v>
      </c>
      <c r="J607" t="s">
        <v>13</v>
      </c>
      <c r="K607" s="4">
        <f>Table1[[#This Row],[Sales]]*Table1[[#This Row],[Quantity]]</f>
        <v>195104</v>
      </c>
      <c r="L607" s="4">
        <f>Table1[[#This Row],[Revenue]]-(Table1[[#This Row],[Revenue]]*Table1[[#This Row],[Discount]]/100)</f>
        <v>136572.79999999999</v>
      </c>
    </row>
    <row r="608" spans="1:12" x14ac:dyDescent="0.55000000000000004">
      <c r="A608" t="s">
        <v>637</v>
      </c>
      <c r="B608" s="2">
        <v>45003</v>
      </c>
      <c r="C608" t="s">
        <v>24</v>
      </c>
      <c r="D608" t="s">
        <v>20</v>
      </c>
      <c r="E608" t="s">
        <v>11</v>
      </c>
      <c r="F608" t="s">
        <v>44</v>
      </c>
      <c r="G608">
        <v>42387</v>
      </c>
      <c r="H608">
        <v>5</v>
      </c>
      <c r="I608">
        <v>30</v>
      </c>
      <c r="J608" t="s">
        <v>13</v>
      </c>
      <c r="K608" s="4">
        <f>Table1[[#This Row],[Sales]]*Table1[[#This Row],[Quantity]]</f>
        <v>211935</v>
      </c>
      <c r="L608" s="4">
        <f>Table1[[#This Row],[Revenue]]-(Table1[[#This Row],[Revenue]]*Table1[[#This Row],[Discount]]/100)</f>
        <v>148354.5</v>
      </c>
    </row>
    <row r="609" spans="1:12" x14ac:dyDescent="0.55000000000000004">
      <c r="A609" t="s">
        <v>638</v>
      </c>
      <c r="B609" s="2">
        <v>45004</v>
      </c>
      <c r="C609" t="s">
        <v>15</v>
      </c>
      <c r="D609" t="s">
        <v>27</v>
      </c>
      <c r="E609" t="s">
        <v>17</v>
      </c>
      <c r="F609" t="s">
        <v>29</v>
      </c>
      <c r="G609">
        <v>5618</v>
      </c>
      <c r="H609">
        <v>4</v>
      </c>
      <c r="I609">
        <v>5</v>
      </c>
      <c r="J609" t="s">
        <v>25</v>
      </c>
      <c r="K609" s="4">
        <f>Table1[[#This Row],[Sales]]*Table1[[#This Row],[Quantity]]</f>
        <v>22472</v>
      </c>
      <c r="L609" s="4">
        <f>Table1[[#This Row],[Revenue]]-(Table1[[#This Row],[Revenue]]*Table1[[#This Row],[Discount]]/100)</f>
        <v>21348.400000000001</v>
      </c>
    </row>
    <row r="610" spans="1:12" x14ac:dyDescent="0.55000000000000004">
      <c r="A610" t="s">
        <v>639</v>
      </c>
      <c r="B610" s="2">
        <v>45064</v>
      </c>
      <c r="C610" t="s">
        <v>24</v>
      </c>
      <c r="D610" t="s">
        <v>16</v>
      </c>
      <c r="E610" t="s">
        <v>11</v>
      </c>
      <c r="F610" t="s">
        <v>48</v>
      </c>
      <c r="G610">
        <v>45283</v>
      </c>
      <c r="H610">
        <v>8</v>
      </c>
      <c r="I610">
        <v>20</v>
      </c>
      <c r="J610" t="s">
        <v>25</v>
      </c>
      <c r="K610" s="4">
        <f>Table1[[#This Row],[Sales]]*Table1[[#This Row],[Quantity]]</f>
        <v>362264</v>
      </c>
      <c r="L610" s="4">
        <f>Table1[[#This Row],[Revenue]]-(Table1[[#This Row],[Revenue]]*Table1[[#This Row],[Discount]]/100)</f>
        <v>289811.20000000001</v>
      </c>
    </row>
    <row r="611" spans="1:12" x14ac:dyDescent="0.55000000000000004">
      <c r="A611" t="s">
        <v>640</v>
      </c>
      <c r="B611" s="2">
        <v>45239</v>
      </c>
      <c r="C611" t="s">
        <v>24</v>
      </c>
      <c r="D611" t="s">
        <v>27</v>
      </c>
      <c r="E611" t="s">
        <v>17</v>
      </c>
      <c r="F611" t="s">
        <v>12</v>
      </c>
      <c r="G611">
        <v>3808</v>
      </c>
      <c r="H611">
        <v>9</v>
      </c>
      <c r="I611">
        <v>24</v>
      </c>
      <c r="J611" t="s">
        <v>22</v>
      </c>
      <c r="K611" s="4">
        <f>Table1[[#This Row],[Sales]]*Table1[[#This Row],[Quantity]]</f>
        <v>34272</v>
      </c>
      <c r="L611" s="4">
        <f>Table1[[#This Row],[Revenue]]-(Table1[[#This Row],[Revenue]]*Table1[[#This Row],[Discount]]/100)</f>
        <v>26046.720000000001</v>
      </c>
    </row>
    <row r="612" spans="1:12" x14ac:dyDescent="0.55000000000000004">
      <c r="A612" t="s">
        <v>641</v>
      </c>
      <c r="B612" s="2">
        <v>45251</v>
      </c>
      <c r="C612" t="s">
        <v>24</v>
      </c>
      <c r="D612" t="s">
        <v>46</v>
      </c>
      <c r="E612" t="s">
        <v>11</v>
      </c>
      <c r="F612" t="s">
        <v>29</v>
      </c>
      <c r="G612">
        <v>29490</v>
      </c>
      <c r="H612">
        <v>6</v>
      </c>
      <c r="I612">
        <v>21</v>
      </c>
      <c r="J612" t="s">
        <v>13</v>
      </c>
      <c r="K612" s="4">
        <f>Table1[[#This Row],[Sales]]*Table1[[#This Row],[Quantity]]</f>
        <v>176940</v>
      </c>
      <c r="L612" s="4">
        <f>Table1[[#This Row],[Revenue]]-(Table1[[#This Row],[Revenue]]*Table1[[#This Row],[Discount]]/100)</f>
        <v>139782.6</v>
      </c>
    </row>
    <row r="613" spans="1:12" x14ac:dyDescent="0.55000000000000004">
      <c r="A613" t="s">
        <v>642</v>
      </c>
      <c r="B613" s="2">
        <v>45134</v>
      </c>
      <c r="C613" t="s">
        <v>24</v>
      </c>
      <c r="D613" t="s">
        <v>37</v>
      </c>
      <c r="E613" t="s">
        <v>17</v>
      </c>
      <c r="F613" t="s">
        <v>12</v>
      </c>
      <c r="G613">
        <v>17323</v>
      </c>
      <c r="H613">
        <v>2</v>
      </c>
      <c r="I613">
        <v>20</v>
      </c>
      <c r="J613" t="s">
        <v>25</v>
      </c>
      <c r="K613" s="4">
        <f>Table1[[#This Row],[Sales]]*Table1[[#This Row],[Quantity]]</f>
        <v>34646</v>
      </c>
      <c r="L613" s="4">
        <f>Table1[[#This Row],[Revenue]]-(Table1[[#This Row],[Revenue]]*Table1[[#This Row],[Discount]]/100)</f>
        <v>27716.799999999999</v>
      </c>
    </row>
    <row r="614" spans="1:12" x14ac:dyDescent="0.55000000000000004">
      <c r="A614" t="s">
        <v>643</v>
      </c>
      <c r="B614" s="2">
        <v>45249</v>
      </c>
      <c r="C614" t="s">
        <v>19</v>
      </c>
      <c r="D614" t="s">
        <v>16</v>
      </c>
      <c r="E614" t="s">
        <v>17</v>
      </c>
      <c r="F614" t="s">
        <v>44</v>
      </c>
      <c r="G614">
        <v>9084</v>
      </c>
      <c r="H614">
        <v>6</v>
      </c>
      <c r="I614">
        <v>14</v>
      </c>
      <c r="J614" t="s">
        <v>25</v>
      </c>
      <c r="K614" s="4">
        <f>Table1[[#This Row],[Sales]]*Table1[[#This Row],[Quantity]]</f>
        <v>54504</v>
      </c>
      <c r="L614" s="4">
        <f>Table1[[#This Row],[Revenue]]-(Table1[[#This Row],[Revenue]]*Table1[[#This Row],[Discount]]/100)</f>
        <v>46873.440000000002</v>
      </c>
    </row>
    <row r="615" spans="1:12" x14ac:dyDescent="0.55000000000000004">
      <c r="A615" t="s">
        <v>644</v>
      </c>
      <c r="B615" s="2">
        <v>45215</v>
      </c>
      <c r="C615" t="s">
        <v>15</v>
      </c>
      <c r="D615" t="s">
        <v>16</v>
      </c>
      <c r="E615" t="s">
        <v>11</v>
      </c>
      <c r="F615" t="s">
        <v>48</v>
      </c>
      <c r="G615">
        <v>16764</v>
      </c>
      <c r="H615">
        <v>4</v>
      </c>
      <c r="I615">
        <v>17</v>
      </c>
      <c r="J615" t="s">
        <v>25</v>
      </c>
      <c r="K615" s="4">
        <f>Table1[[#This Row],[Sales]]*Table1[[#This Row],[Quantity]]</f>
        <v>67056</v>
      </c>
      <c r="L615" s="4">
        <f>Table1[[#This Row],[Revenue]]-(Table1[[#This Row],[Revenue]]*Table1[[#This Row],[Discount]]/100)</f>
        <v>55656.479999999996</v>
      </c>
    </row>
    <row r="616" spans="1:12" x14ac:dyDescent="0.55000000000000004">
      <c r="A616" t="s">
        <v>645</v>
      </c>
      <c r="B616" s="2">
        <v>45212</v>
      </c>
      <c r="C616" t="s">
        <v>15</v>
      </c>
      <c r="D616" t="s">
        <v>37</v>
      </c>
      <c r="E616" t="s">
        <v>17</v>
      </c>
      <c r="F616" t="s">
        <v>38</v>
      </c>
      <c r="G616">
        <v>39369</v>
      </c>
      <c r="H616">
        <v>8</v>
      </c>
      <c r="I616">
        <v>20</v>
      </c>
      <c r="J616" t="s">
        <v>25</v>
      </c>
      <c r="K616" s="4">
        <f>Table1[[#This Row],[Sales]]*Table1[[#This Row],[Quantity]]</f>
        <v>314952</v>
      </c>
      <c r="L616" s="4">
        <f>Table1[[#This Row],[Revenue]]-(Table1[[#This Row],[Revenue]]*Table1[[#This Row],[Discount]]/100)</f>
        <v>251961.60000000001</v>
      </c>
    </row>
    <row r="617" spans="1:12" x14ac:dyDescent="0.55000000000000004">
      <c r="A617" t="s">
        <v>646</v>
      </c>
      <c r="B617" s="2">
        <v>45065</v>
      </c>
      <c r="C617" t="s">
        <v>19</v>
      </c>
      <c r="D617" t="s">
        <v>37</v>
      </c>
      <c r="E617" t="s">
        <v>17</v>
      </c>
      <c r="F617" t="s">
        <v>29</v>
      </c>
      <c r="G617">
        <v>2520</v>
      </c>
      <c r="H617">
        <v>9</v>
      </c>
      <c r="I617">
        <v>28</v>
      </c>
      <c r="J617" t="s">
        <v>13</v>
      </c>
      <c r="K617" s="4">
        <f>Table1[[#This Row],[Sales]]*Table1[[#This Row],[Quantity]]</f>
        <v>22680</v>
      </c>
      <c r="L617" s="4">
        <f>Table1[[#This Row],[Revenue]]-(Table1[[#This Row],[Revenue]]*Table1[[#This Row],[Discount]]/100)</f>
        <v>16329.6</v>
      </c>
    </row>
    <row r="618" spans="1:12" x14ac:dyDescent="0.55000000000000004">
      <c r="A618" t="s">
        <v>647</v>
      </c>
      <c r="B618" s="2">
        <v>45129</v>
      </c>
      <c r="C618" t="s">
        <v>19</v>
      </c>
      <c r="D618" t="s">
        <v>20</v>
      </c>
      <c r="E618" t="s">
        <v>17</v>
      </c>
      <c r="F618" t="s">
        <v>38</v>
      </c>
      <c r="G618">
        <v>11944</v>
      </c>
      <c r="H618">
        <v>5</v>
      </c>
      <c r="I618">
        <v>22</v>
      </c>
      <c r="J618" t="s">
        <v>13</v>
      </c>
      <c r="K618" s="4">
        <f>Table1[[#This Row],[Sales]]*Table1[[#This Row],[Quantity]]</f>
        <v>59720</v>
      </c>
      <c r="L618" s="4">
        <f>Table1[[#This Row],[Revenue]]-(Table1[[#This Row],[Revenue]]*Table1[[#This Row],[Discount]]/100)</f>
        <v>46581.599999999999</v>
      </c>
    </row>
    <row r="619" spans="1:12" x14ac:dyDescent="0.55000000000000004">
      <c r="A619" t="s">
        <v>648</v>
      </c>
      <c r="B619" s="2">
        <v>45091</v>
      </c>
      <c r="C619" t="s">
        <v>31</v>
      </c>
      <c r="D619" t="s">
        <v>27</v>
      </c>
      <c r="E619" t="s">
        <v>17</v>
      </c>
      <c r="F619" t="s">
        <v>21</v>
      </c>
      <c r="G619">
        <v>3165</v>
      </c>
      <c r="H619">
        <v>6</v>
      </c>
      <c r="I619">
        <v>16</v>
      </c>
      <c r="J619" t="s">
        <v>25</v>
      </c>
      <c r="K619" s="4">
        <f>Table1[[#This Row],[Sales]]*Table1[[#This Row],[Quantity]]</f>
        <v>18990</v>
      </c>
      <c r="L619" s="4">
        <f>Table1[[#This Row],[Revenue]]-(Table1[[#This Row],[Revenue]]*Table1[[#This Row],[Discount]]/100)</f>
        <v>15951.6</v>
      </c>
    </row>
    <row r="620" spans="1:12" x14ac:dyDescent="0.55000000000000004">
      <c r="A620" t="s">
        <v>649</v>
      </c>
      <c r="B620" s="2">
        <v>44999</v>
      </c>
      <c r="C620" t="s">
        <v>19</v>
      </c>
      <c r="D620" t="s">
        <v>46</v>
      </c>
      <c r="E620" t="s">
        <v>11</v>
      </c>
      <c r="F620" t="s">
        <v>38</v>
      </c>
      <c r="G620">
        <v>23911</v>
      </c>
      <c r="H620">
        <v>1</v>
      </c>
      <c r="I620">
        <v>3</v>
      </c>
      <c r="J620" t="s">
        <v>13</v>
      </c>
      <c r="K620" s="4">
        <f>Table1[[#This Row],[Sales]]*Table1[[#This Row],[Quantity]]</f>
        <v>23911</v>
      </c>
      <c r="L620" s="4">
        <f>Table1[[#This Row],[Revenue]]-(Table1[[#This Row],[Revenue]]*Table1[[#This Row],[Discount]]/100)</f>
        <v>23193.67</v>
      </c>
    </row>
    <row r="621" spans="1:12" x14ac:dyDescent="0.55000000000000004">
      <c r="A621" t="s">
        <v>650</v>
      </c>
      <c r="B621" s="2">
        <v>45065</v>
      </c>
      <c r="C621" t="s">
        <v>31</v>
      </c>
      <c r="D621" t="s">
        <v>37</v>
      </c>
      <c r="E621" t="s">
        <v>11</v>
      </c>
      <c r="F621" t="s">
        <v>48</v>
      </c>
      <c r="G621">
        <v>40549</v>
      </c>
      <c r="H621">
        <v>7</v>
      </c>
      <c r="I621">
        <v>7</v>
      </c>
      <c r="J621" t="s">
        <v>13</v>
      </c>
      <c r="K621" s="4">
        <f>Table1[[#This Row],[Sales]]*Table1[[#This Row],[Quantity]]</f>
        <v>283843</v>
      </c>
      <c r="L621" s="4">
        <f>Table1[[#This Row],[Revenue]]-(Table1[[#This Row],[Revenue]]*Table1[[#This Row],[Discount]]/100)</f>
        <v>263973.99</v>
      </c>
    </row>
    <row r="622" spans="1:12" x14ac:dyDescent="0.55000000000000004">
      <c r="A622" t="s">
        <v>651</v>
      </c>
      <c r="B622" s="2">
        <v>45196</v>
      </c>
      <c r="C622" t="s">
        <v>15</v>
      </c>
      <c r="D622" t="s">
        <v>20</v>
      </c>
      <c r="E622" t="s">
        <v>11</v>
      </c>
      <c r="F622" t="s">
        <v>21</v>
      </c>
      <c r="G622">
        <v>37750</v>
      </c>
      <c r="H622">
        <v>3</v>
      </c>
      <c r="I622">
        <v>23</v>
      </c>
      <c r="J622" t="s">
        <v>22</v>
      </c>
      <c r="K622" s="4">
        <f>Table1[[#This Row],[Sales]]*Table1[[#This Row],[Quantity]]</f>
        <v>113250</v>
      </c>
      <c r="L622" s="4">
        <f>Table1[[#This Row],[Revenue]]-(Table1[[#This Row],[Revenue]]*Table1[[#This Row],[Discount]]/100)</f>
        <v>87202.5</v>
      </c>
    </row>
    <row r="623" spans="1:12" x14ac:dyDescent="0.55000000000000004">
      <c r="A623" t="s">
        <v>652</v>
      </c>
      <c r="B623" s="2">
        <v>45151</v>
      </c>
      <c r="C623" t="s">
        <v>24</v>
      </c>
      <c r="D623" t="s">
        <v>27</v>
      </c>
      <c r="E623" t="s">
        <v>11</v>
      </c>
      <c r="F623" t="s">
        <v>48</v>
      </c>
      <c r="G623">
        <v>17765</v>
      </c>
      <c r="H623">
        <v>3</v>
      </c>
      <c r="I623">
        <v>18</v>
      </c>
      <c r="J623" t="s">
        <v>13</v>
      </c>
      <c r="K623" s="4">
        <f>Table1[[#This Row],[Sales]]*Table1[[#This Row],[Quantity]]</f>
        <v>53295</v>
      </c>
      <c r="L623" s="4">
        <f>Table1[[#This Row],[Revenue]]-(Table1[[#This Row],[Revenue]]*Table1[[#This Row],[Discount]]/100)</f>
        <v>43701.9</v>
      </c>
    </row>
    <row r="624" spans="1:12" x14ac:dyDescent="0.55000000000000004">
      <c r="A624" t="s">
        <v>653</v>
      </c>
      <c r="B624" s="2">
        <v>45203</v>
      </c>
      <c r="C624" t="s">
        <v>24</v>
      </c>
      <c r="D624" t="s">
        <v>46</v>
      </c>
      <c r="E624" t="s">
        <v>17</v>
      </c>
      <c r="F624" t="s">
        <v>12</v>
      </c>
      <c r="G624">
        <v>41931</v>
      </c>
      <c r="H624">
        <v>10</v>
      </c>
      <c r="I624">
        <v>17</v>
      </c>
      <c r="J624" t="s">
        <v>22</v>
      </c>
      <c r="K624" s="4">
        <f>Table1[[#This Row],[Sales]]*Table1[[#This Row],[Quantity]]</f>
        <v>419310</v>
      </c>
      <c r="L624" s="4">
        <f>Table1[[#This Row],[Revenue]]-(Table1[[#This Row],[Revenue]]*Table1[[#This Row],[Discount]]/100)</f>
        <v>348027.3</v>
      </c>
    </row>
    <row r="625" spans="1:12" x14ac:dyDescent="0.55000000000000004">
      <c r="A625" t="s">
        <v>654</v>
      </c>
      <c r="B625" s="2">
        <v>45114</v>
      </c>
      <c r="C625" t="s">
        <v>15</v>
      </c>
      <c r="D625" t="s">
        <v>37</v>
      </c>
      <c r="E625" t="s">
        <v>17</v>
      </c>
      <c r="F625" t="s">
        <v>44</v>
      </c>
      <c r="G625">
        <v>18054</v>
      </c>
      <c r="H625">
        <v>5</v>
      </c>
      <c r="I625">
        <v>10</v>
      </c>
      <c r="J625" t="s">
        <v>13</v>
      </c>
      <c r="K625" s="4">
        <f>Table1[[#This Row],[Sales]]*Table1[[#This Row],[Quantity]]</f>
        <v>90270</v>
      </c>
      <c r="L625" s="4">
        <f>Table1[[#This Row],[Revenue]]-(Table1[[#This Row],[Revenue]]*Table1[[#This Row],[Discount]]/100)</f>
        <v>81243</v>
      </c>
    </row>
    <row r="626" spans="1:12" x14ac:dyDescent="0.55000000000000004">
      <c r="A626" t="s">
        <v>655</v>
      </c>
      <c r="B626" s="2">
        <v>45178</v>
      </c>
      <c r="C626" t="s">
        <v>19</v>
      </c>
      <c r="D626" t="s">
        <v>37</v>
      </c>
      <c r="E626" t="s">
        <v>17</v>
      </c>
      <c r="F626" t="s">
        <v>38</v>
      </c>
      <c r="G626">
        <v>42316</v>
      </c>
      <c r="H626">
        <v>8</v>
      </c>
      <c r="I626">
        <v>24</v>
      </c>
      <c r="J626" t="s">
        <v>25</v>
      </c>
      <c r="K626" s="4">
        <f>Table1[[#This Row],[Sales]]*Table1[[#This Row],[Quantity]]</f>
        <v>338528</v>
      </c>
      <c r="L626" s="4">
        <f>Table1[[#This Row],[Revenue]]-(Table1[[#This Row],[Revenue]]*Table1[[#This Row],[Discount]]/100)</f>
        <v>257281.28</v>
      </c>
    </row>
    <row r="627" spans="1:12" x14ac:dyDescent="0.55000000000000004">
      <c r="A627" t="s">
        <v>656</v>
      </c>
      <c r="B627" s="2">
        <v>45088</v>
      </c>
      <c r="C627" t="s">
        <v>24</v>
      </c>
      <c r="D627" t="s">
        <v>46</v>
      </c>
      <c r="E627" t="s">
        <v>11</v>
      </c>
      <c r="F627" t="s">
        <v>29</v>
      </c>
      <c r="G627">
        <v>29489</v>
      </c>
      <c r="H627">
        <v>6</v>
      </c>
      <c r="I627">
        <v>4</v>
      </c>
      <c r="J627" t="s">
        <v>22</v>
      </c>
      <c r="K627" s="4">
        <f>Table1[[#This Row],[Sales]]*Table1[[#This Row],[Quantity]]</f>
        <v>176934</v>
      </c>
      <c r="L627" s="4">
        <f>Table1[[#This Row],[Revenue]]-(Table1[[#This Row],[Revenue]]*Table1[[#This Row],[Discount]]/100)</f>
        <v>169856.64000000001</v>
      </c>
    </row>
    <row r="628" spans="1:12" x14ac:dyDescent="0.55000000000000004">
      <c r="A628" t="s">
        <v>657</v>
      </c>
      <c r="B628" s="2">
        <v>45271</v>
      </c>
      <c r="C628" t="s">
        <v>15</v>
      </c>
      <c r="D628" t="s">
        <v>37</v>
      </c>
      <c r="E628" t="s">
        <v>17</v>
      </c>
      <c r="F628" t="s">
        <v>38</v>
      </c>
      <c r="G628">
        <v>10161</v>
      </c>
      <c r="H628">
        <v>1</v>
      </c>
      <c r="I628">
        <v>27</v>
      </c>
      <c r="J628" t="s">
        <v>22</v>
      </c>
      <c r="K628" s="4">
        <f>Table1[[#This Row],[Sales]]*Table1[[#This Row],[Quantity]]</f>
        <v>10161</v>
      </c>
      <c r="L628" s="4">
        <f>Table1[[#This Row],[Revenue]]-(Table1[[#This Row],[Revenue]]*Table1[[#This Row],[Discount]]/100)</f>
        <v>7417.5300000000007</v>
      </c>
    </row>
    <row r="629" spans="1:12" x14ac:dyDescent="0.55000000000000004">
      <c r="A629" t="s">
        <v>658</v>
      </c>
      <c r="B629" s="2">
        <v>45291</v>
      </c>
      <c r="C629" t="s">
        <v>31</v>
      </c>
      <c r="D629" t="s">
        <v>27</v>
      </c>
      <c r="E629" t="s">
        <v>17</v>
      </c>
      <c r="F629" t="s">
        <v>38</v>
      </c>
      <c r="G629">
        <v>42723</v>
      </c>
      <c r="H629">
        <v>6</v>
      </c>
      <c r="I629">
        <v>0</v>
      </c>
      <c r="J629" t="s">
        <v>25</v>
      </c>
      <c r="K629" s="4">
        <f>Table1[[#This Row],[Sales]]*Table1[[#This Row],[Quantity]]</f>
        <v>256338</v>
      </c>
      <c r="L629" s="4">
        <f>Table1[[#This Row],[Revenue]]-(Table1[[#This Row],[Revenue]]*Table1[[#This Row],[Discount]]/100)</f>
        <v>256338</v>
      </c>
    </row>
    <row r="630" spans="1:12" x14ac:dyDescent="0.55000000000000004">
      <c r="A630" t="s">
        <v>659</v>
      </c>
      <c r="B630" s="2">
        <v>45067</v>
      </c>
      <c r="C630" t="s">
        <v>19</v>
      </c>
      <c r="D630" t="s">
        <v>16</v>
      </c>
      <c r="E630" t="s">
        <v>17</v>
      </c>
      <c r="F630" t="s">
        <v>29</v>
      </c>
      <c r="G630">
        <v>5139</v>
      </c>
      <c r="H630">
        <v>1</v>
      </c>
      <c r="I630">
        <v>24</v>
      </c>
      <c r="J630" t="s">
        <v>25</v>
      </c>
      <c r="K630" s="4">
        <f>Table1[[#This Row],[Sales]]*Table1[[#This Row],[Quantity]]</f>
        <v>5139</v>
      </c>
      <c r="L630" s="4">
        <f>Table1[[#This Row],[Revenue]]-(Table1[[#This Row],[Revenue]]*Table1[[#This Row],[Discount]]/100)</f>
        <v>3905.6400000000003</v>
      </c>
    </row>
    <row r="631" spans="1:12" x14ac:dyDescent="0.55000000000000004">
      <c r="A631" t="s">
        <v>660</v>
      </c>
      <c r="B631" s="2">
        <v>45146</v>
      </c>
      <c r="C631" t="s">
        <v>19</v>
      </c>
      <c r="D631" t="s">
        <v>37</v>
      </c>
      <c r="E631" t="s">
        <v>11</v>
      </c>
      <c r="F631" t="s">
        <v>34</v>
      </c>
      <c r="G631">
        <v>1702</v>
      </c>
      <c r="H631">
        <v>8</v>
      </c>
      <c r="I631">
        <v>24</v>
      </c>
      <c r="J631" t="s">
        <v>13</v>
      </c>
      <c r="K631" s="4">
        <f>Table1[[#This Row],[Sales]]*Table1[[#This Row],[Quantity]]</f>
        <v>13616</v>
      </c>
      <c r="L631" s="4">
        <f>Table1[[#This Row],[Revenue]]-(Table1[[#This Row],[Revenue]]*Table1[[#This Row],[Discount]]/100)</f>
        <v>10348.16</v>
      </c>
    </row>
    <row r="632" spans="1:12" x14ac:dyDescent="0.55000000000000004">
      <c r="A632" t="s">
        <v>661</v>
      </c>
      <c r="B632" s="2">
        <v>45136</v>
      </c>
      <c r="C632" t="s">
        <v>15</v>
      </c>
      <c r="D632" t="s">
        <v>46</v>
      </c>
      <c r="E632" t="s">
        <v>11</v>
      </c>
      <c r="F632" t="s">
        <v>21</v>
      </c>
      <c r="G632">
        <v>2988</v>
      </c>
      <c r="H632">
        <v>8</v>
      </c>
      <c r="I632">
        <v>21</v>
      </c>
      <c r="J632" t="s">
        <v>22</v>
      </c>
      <c r="K632" s="4">
        <f>Table1[[#This Row],[Sales]]*Table1[[#This Row],[Quantity]]</f>
        <v>23904</v>
      </c>
      <c r="L632" s="4">
        <f>Table1[[#This Row],[Revenue]]-(Table1[[#This Row],[Revenue]]*Table1[[#This Row],[Discount]]/100)</f>
        <v>18884.16</v>
      </c>
    </row>
    <row r="633" spans="1:12" x14ac:dyDescent="0.55000000000000004">
      <c r="A633" t="s">
        <v>662</v>
      </c>
      <c r="B633" s="2">
        <v>44976</v>
      </c>
      <c r="C633" t="s">
        <v>19</v>
      </c>
      <c r="D633" t="s">
        <v>37</v>
      </c>
      <c r="E633" t="s">
        <v>17</v>
      </c>
      <c r="F633" t="s">
        <v>44</v>
      </c>
      <c r="G633">
        <v>27128</v>
      </c>
      <c r="H633">
        <v>5</v>
      </c>
      <c r="I633">
        <v>9</v>
      </c>
      <c r="J633" t="s">
        <v>25</v>
      </c>
      <c r="K633" s="4">
        <f>Table1[[#This Row],[Sales]]*Table1[[#This Row],[Quantity]]</f>
        <v>135640</v>
      </c>
      <c r="L633" s="4">
        <f>Table1[[#This Row],[Revenue]]-(Table1[[#This Row],[Revenue]]*Table1[[#This Row],[Discount]]/100)</f>
        <v>123432.4</v>
      </c>
    </row>
    <row r="634" spans="1:12" x14ac:dyDescent="0.55000000000000004">
      <c r="A634" t="s">
        <v>663</v>
      </c>
      <c r="B634" s="2">
        <v>45092</v>
      </c>
      <c r="C634" t="s">
        <v>15</v>
      </c>
      <c r="D634" t="s">
        <v>20</v>
      </c>
      <c r="E634" t="s">
        <v>11</v>
      </c>
      <c r="F634" t="s">
        <v>21</v>
      </c>
      <c r="G634">
        <v>13482</v>
      </c>
      <c r="H634">
        <v>9</v>
      </c>
      <c r="I634">
        <v>11</v>
      </c>
      <c r="J634" t="s">
        <v>22</v>
      </c>
      <c r="K634" s="4">
        <f>Table1[[#This Row],[Sales]]*Table1[[#This Row],[Quantity]]</f>
        <v>121338</v>
      </c>
      <c r="L634" s="4">
        <f>Table1[[#This Row],[Revenue]]-(Table1[[#This Row],[Revenue]]*Table1[[#This Row],[Discount]]/100)</f>
        <v>107990.82</v>
      </c>
    </row>
    <row r="635" spans="1:12" x14ac:dyDescent="0.55000000000000004">
      <c r="A635" t="s">
        <v>664</v>
      </c>
      <c r="B635" s="2">
        <v>45143</v>
      </c>
      <c r="C635" t="s">
        <v>31</v>
      </c>
      <c r="D635" t="s">
        <v>46</v>
      </c>
      <c r="E635" t="s">
        <v>17</v>
      </c>
      <c r="F635" t="s">
        <v>12</v>
      </c>
      <c r="G635">
        <v>21637</v>
      </c>
      <c r="H635">
        <v>4</v>
      </c>
      <c r="I635">
        <v>17</v>
      </c>
      <c r="J635" t="s">
        <v>22</v>
      </c>
      <c r="K635" s="4">
        <f>Table1[[#This Row],[Sales]]*Table1[[#This Row],[Quantity]]</f>
        <v>86548</v>
      </c>
      <c r="L635" s="4">
        <f>Table1[[#This Row],[Revenue]]-(Table1[[#This Row],[Revenue]]*Table1[[#This Row],[Discount]]/100)</f>
        <v>71834.84</v>
      </c>
    </row>
    <row r="636" spans="1:12" x14ac:dyDescent="0.55000000000000004">
      <c r="A636" t="s">
        <v>665</v>
      </c>
      <c r="B636" s="2">
        <v>45078</v>
      </c>
      <c r="C636" t="s">
        <v>15</v>
      </c>
      <c r="D636" t="s">
        <v>46</v>
      </c>
      <c r="E636" t="s">
        <v>11</v>
      </c>
      <c r="F636" t="s">
        <v>48</v>
      </c>
      <c r="G636">
        <v>4552</v>
      </c>
      <c r="H636">
        <v>6</v>
      </c>
      <c r="I636">
        <v>1</v>
      </c>
      <c r="J636" t="s">
        <v>22</v>
      </c>
      <c r="K636" s="4">
        <f>Table1[[#This Row],[Sales]]*Table1[[#This Row],[Quantity]]</f>
        <v>27312</v>
      </c>
      <c r="L636" s="4">
        <f>Table1[[#This Row],[Revenue]]-(Table1[[#This Row],[Revenue]]*Table1[[#This Row],[Discount]]/100)</f>
        <v>27038.880000000001</v>
      </c>
    </row>
    <row r="637" spans="1:12" x14ac:dyDescent="0.55000000000000004">
      <c r="A637" t="s">
        <v>666</v>
      </c>
      <c r="B637" s="2">
        <v>45231</v>
      </c>
      <c r="C637" t="s">
        <v>19</v>
      </c>
      <c r="D637" t="s">
        <v>16</v>
      </c>
      <c r="E637" t="s">
        <v>11</v>
      </c>
      <c r="F637" t="s">
        <v>44</v>
      </c>
      <c r="G637">
        <v>10439</v>
      </c>
      <c r="H637">
        <v>8</v>
      </c>
      <c r="I637">
        <v>4</v>
      </c>
      <c r="J637" t="s">
        <v>22</v>
      </c>
      <c r="K637" s="4">
        <f>Table1[[#This Row],[Sales]]*Table1[[#This Row],[Quantity]]</f>
        <v>83512</v>
      </c>
      <c r="L637" s="4">
        <f>Table1[[#This Row],[Revenue]]-(Table1[[#This Row],[Revenue]]*Table1[[#This Row],[Discount]]/100)</f>
        <v>80171.520000000004</v>
      </c>
    </row>
    <row r="638" spans="1:12" x14ac:dyDescent="0.55000000000000004">
      <c r="A638" t="s">
        <v>667</v>
      </c>
      <c r="B638" s="2">
        <v>45044</v>
      </c>
      <c r="C638" t="s">
        <v>15</v>
      </c>
      <c r="D638" t="s">
        <v>16</v>
      </c>
      <c r="E638" t="s">
        <v>17</v>
      </c>
      <c r="F638" t="s">
        <v>48</v>
      </c>
      <c r="G638">
        <v>34006</v>
      </c>
      <c r="H638">
        <v>6</v>
      </c>
      <c r="I638">
        <v>18</v>
      </c>
      <c r="J638" t="s">
        <v>25</v>
      </c>
      <c r="K638" s="4">
        <f>Table1[[#This Row],[Sales]]*Table1[[#This Row],[Quantity]]</f>
        <v>204036</v>
      </c>
      <c r="L638" s="4">
        <f>Table1[[#This Row],[Revenue]]-(Table1[[#This Row],[Revenue]]*Table1[[#This Row],[Discount]]/100)</f>
        <v>167309.51999999999</v>
      </c>
    </row>
    <row r="639" spans="1:12" x14ac:dyDescent="0.55000000000000004">
      <c r="A639" t="s">
        <v>668</v>
      </c>
      <c r="B639" s="2">
        <v>45258</v>
      </c>
      <c r="C639" t="s">
        <v>19</v>
      </c>
      <c r="D639" t="s">
        <v>27</v>
      </c>
      <c r="E639" t="s">
        <v>11</v>
      </c>
      <c r="F639" t="s">
        <v>21</v>
      </c>
      <c r="G639">
        <v>3770</v>
      </c>
      <c r="H639">
        <v>7</v>
      </c>
      <c r="I639">
        <v>10</v>
      </c>
      <c r="J639" t="s">
        <v>13</v>
      </c>
      <c r="K639" s="4">
        <f>Table1[[#This Row],[Sales]]*Table1[[#This Row],[Quantity]]</f>
        <v>26390</v>
      </c>
      <c r="L639" s="4">
        <f>Table1[[#This Row],[Revenue]]-(Table1[[#This Row],[Revenue]]*Table1[[#This Row],[Discount]]/100)</f>
        <v>23751</v>
      </c>
    </row>
    <row r="640" spans="1:12" x14ac:dyDescent="0.55000000000000004">
      <c r="A640" t="s">
        <v>669</v>
      </c>
      <c r="B640" s="2">
        <v>45158</v>
      </c>
      <c r="C640" t="s">
        <v>19</v>
      </c>
      <c r="D640" t="s">
        <v>37</v>
      </c>
      <c r="E640" t="s">
        <v>11</v>
      </c>
      <c r="F640" t="s">
        <v>34</v>
      </c>
      <c r="G640">
        <v>1394</v>
      </c>
      <c r="H640">
        <v>10</v>
      </c>
      <c r="I640">
        <v>26</v>
      </c>
      <c r="J640" t="s">
        <v>13</v>
      </c>
      <c r="K640" s="4">
        <f>Table1[[#This Row],[Sales]]*Table1[[#This Row],[Quantity]]</f>
        <v>13940</v>
      </c>
      <c r="L640" s="4">
        <f>Table1[[#This Row],[Revenue]]-(Table1[[#This Row],[Revenue]]*Table1[[#This Row],[Discount]]/100)</f>
        <v>10315.6</v>
      </c>
    </row>
    <row r="641" spans="1:12" x14ac:dyDescent="0.55000000000000004">
      <c r="A641" t="s">
        <v>670</v>
      </c>
      <c r="B641" s="2">
        <v>45141</v>
      </c>
      <c r="C641" t="s">
        <v>24</v>
      </c>
      <c r="D641" t="s">
        <v>27</v>
      </c>
      <c r="E641" t="s">
        <v>17</v>
      </c>
      <c r="F641" t="s">
        <v>38</v>
      </c>
      <c r="G641">
        <v>20396</v>
      </c>
      <c r="H641">
        <v>1</v>
      </c>
      <c r="I641">
        <v>1</v>
      </c>
      <c r="J641" t="s">
        <v>13</v>
      </c>
      <c r="K641" s="4">
        <f>Table1[[#This Row],[Sales]]*Table1[[#This Row],[Quantity]]</f>
        <v>20396</v>
      </c>
      <c r="L641" s="4">
        <f>Table1[[#This Row],[Revenue]]-(Table1[[#This Row],[Revenue]]*Table1[[#This Row],[Discount]]/100)</f>
        <v>20192.04</v>
      </c>
    </row>
    <row r="642" spans="1:12" x14ac:dyDescent="0.55000000000000004">
      <c r="A642" t="s">
        <v>671</v>
      </c>
      <c r="B642" s="2">
        <v>45022</v>
      </c>
      <c r="C642" t="s">
        <v>19</v>
      </c>
      <c r="D642" t="s">
        <v>46</v>
      </c>
      <c r="E642" t="s">
        <v>11</v>
      </c>
      <c r="F642" t="s">
        <v>48</v>
      </c>
      <c r="G642">
        <v>46072</v>
      </c>
      <c r="H642">
        <v>7</v>
      </c>
      <c r="I642">
        <v>2</v>
      </c>
      <c r="J642" t="s">
        <v>25</v>
      </c>
      <c r="K642" s="4">
        <f>Table1[[#This Row],[Sales]]*Table1[[#This Row],[Quantity]]</f>
        <v>322504</v>
      </c>
      <c r="L642" s="4">
        <f>Table1[[#This Row],[Revenue]]-(Table1[[#This Row],[Revenue]]*Table1[[#This Row],[Discount]]/100)</f>
        <v>316053.92</v>
      </c>
    </row>
    <row r="643" spans="1:12" x14ac:dyDescent="0.55000000000000004">
      <c r="A643" t="s">
        <v>672</v>
      </c>
      <c r="B643" s="2">
        <v>45003</v>
      </c>
      <c r="C643" t="s">
        <v>31</v>
      </c>
      <c r="D643" t="s">
        <v>20</v>
      </c>
      <c r="E643" t="s">
        <v>11</v>
      </c>
      <c r="F643" t="s">
        <v>38</v>
      </c>
      <c r="G643">
        <v>34358</v>
      </c>
      <c r="H643">
        <v>7</v>
      </c>
      <c r="I643">
        <v>0</v>
      </c>
      <c r="J643" t="s">
        <v>13</v>
      </c>
      <c r="K643" s="4">
        <f>Table1[[#This Row],[Sales]]*Table1[[#This Row],[Quantity]]</f>
        <v>240506</v>
      </c>
      <c r="L643" s="4">
        <f>Table1[[#This Row],[Revenue]]-(Table1[[#This Row],[Revenue]]*Table1[[#This Row],[Discount]]/100)</f>
        <v>240506</v>
      </c>
    </row>
    <row r="644" spans="1:12" x14ac:dyDescent="0.55000000000000004">
      <c r="A644" t="s">
        <v>673</v>
      </c>
      <c r="B644" s="2">
        <v>45291</v>
      </c>
      <c r="C644" t="s">
        <v>31</v>
      </c>
      <c r="D644" t="s">
        <v>46</v>
      </c>
      <c r="E644" t="s">
        <v>11</v>
      </c>
      <c r="F644" t="s">
        <v>38</v>
      </c>
      <c r="G644">
        <v>18735</v>
      </c>
      <c r="H644">
        <v>8</v>
      </c>
      <c r="I644">
        <v>4</v>
      </c>
      <c r="J644" t="s">
        <v>13</v>
      </c>
      <c r="K644" s="4">
        <f>Table1[[#This Row],[Sales]]*Table1[[#This Row],[Quantity]]</f>
        <v>149880</v>
      </c>
      <c r="L644" s="4">
        <f>Table1[[#This Row],[Revenue]]-(Table1[[#This Row],[Revenue]]*Table1[[#This Row],[Discount]]/100)</f>
        <v>143884.79999999999</v>
      </c>
    </row>
    <row r="645" spans="1:12" x14ac:dyDescent="0.55000000000000004">
      <c r="A645" t="s">
        <v>674</v>
      </c>
      <c r="B645" s="2">
        <v>44931</v>
      </c>
      <c r="C645" t="s">
        <v>24</v>
      </c>
      <c r="D645" t="s">
        <v>20</v>
      </c>
      <c r="E645" t="s">
        <v>11</v>
      </c>
      <c r="F645" t="s">
        <v>34</v>
      </c>
      <c r="G645">
        <v>46759</v>
      </c>
      <c r="H645">
        <v>4</v>
      </c>
      <c r="I645">
        <v>17</v>
      </c>
      <c r="J645" t="s">
        <v>22</v>
      </c>
      <c r="K645" s="4">
        <f>Table1[[#This Row],[Sales]]*Table1[[#This Row],[Quantity]]</f>
        <v>187036</v>
      </c>
      <c r="L645" s="4">
        <f>Table1[[#This Row],[Revenue]]-(Table1[[#This Row],[Revenue]]*Table1[[#This Row],[Discount]]/100)</f>
        <v>155239.88</v>
      </c>
    </row>
    <row r="646" spans="1:12" x14ac:dyDescent="0.55000000000000004">
      <c r="A646" t="s">
        <v>675</v>
      </c>
      <c r="B646" s="2">
        <v>45060</v>
      </c>
      <c r="C646" t="s">
        <v>15</v>
      </c>
      <c r="D646" t="s">
        <v>20</v>
      </c>
      <c r="E646" t="s">
        <v>17</v>
      </c>
      <c r="F646" t="s">
        <v>21</v>
      </c>
      <c r="G646">
        <v>1808</v>
      </c>
      <c r="H646">
        <v>10</v>
      </c>
      <c r="I646">
        <v>23</v>
      </c>
      <c r="J646" t="s">
        <v>25</v>
      </c>
      <c r="K646" s="4">
        <f>Table1[[#This Row],[Sales]]*Table1[[#This Row],[Quantity]]</f>
        <v>18080</v>
      </c>
      <c r="L646" s="4">
        <f>Table1[[#This Row],[Revenue]]-(Table1[[#This Row],[Revenue]]*Table1[[#This Row],[Discount]]/100)</f>
        <v>13921.6</v>
      </c>
    </row>
    <row r="647" spans="1:12" x14ac:dyDescent="0.55000000000000004">
      <c r="A647" t="s">
        <v>676</v>
      </c>
      <c r="B647" s="2">
        <v>45080</v>
      </c>
      <c r="C647" t="s">
        <v>15</v>
      </c>
      <c r="D647" t="s">
        <v>20</v>
      </c>
      <c r="E647" t="s">
        <v>17</v>
      </c>
      <c r="F647" t="s">
        <v>34</v>
      </c>
      <c r="G647">
        <v>48273</v>
      </c>
      <c r="H647">
        <v>7</v>
      </c>
      <c r="I647">
        <v>17</v>
      </c>
      <c r="J647" t="s">
        <v>25</v>
      </c>
      <c r="K647" s="4">
        <f>Table1[[#This Row],[Sales]]*Table1[[#This Row],[Quantity]]</f>
        <v>337911</v>
      </c>
      <c r="L647" s="4">
        <f>Table1[[#This Row],[Revenue]]-(Table1[[#This Row],[Revenue]]*Table1[[#This Row],[Discount]]/100)</f>
        <v>280466.13</v>
      </c>
    </row>
    <row r="648" spans="1:12" x14ac:dyDescent="0.55000000000000004">
      <c r="A648" t="s">
        <v>677</v>
      </c>
      <c r="B648" s="2">
        <v>45031</v>
      </c>
      <c r="C648" t="s">
        <v>24</v>
      </c>
      <c r="D648" t="s">
        <v>27</v>
      </c>
      <c r="E648" t="s">
        <v>17</v>
      </c>
      <c r="F648" t="s">
        <v>44</v>
      </c>
      <c r="G648">
        <v>8308</v>
      </c>
      <c r="H648">
        <v>2</v>
      </c>
      <c r="I648">
        <v>10</v>
      </c>
      <c r="J648" t="s">
        <v>22</v>
      </c>
      <c r="K648" s="4">
        <f>Table1[[#This Row],[Sales]]*Table1[[#This Row],[Quantity]]</f>
        <v>16616</v>
      </c>
      <c r="L648" s="4">
        <f>Table1[[#This Row],[Revenue]]-(Table1[[#This Row],[Revenue]]*Table1[[#This Row],[Discount]]/100)</f>
        <v>14954.4</v>
      </c>
    </row>
    <row r="649" spans="1:12" x14ac:dyDescent="0.55000000000000004">
      <c r="A649" t="s">
        <v>678</v>
      </c>
      <c r="B649" s="2">
        <v>45224</v>
      </c>
      <c r="C649" t="s">
        <v>24</v>
      </c>
      <c r="D649" t="s">
        <v>37</v>
      </c>
      <c r="E649" t="s">
        <v>11</v>
      </c>
      <c r="F649" t="s">
        <v>34</v>
      </c>
      <c r="G649">
        <v>28900</v>
      </c>
      <c r="H649">
        <v>9</v>
      </c>
      <c r="I649">
        <v>11</v>
      </c>
      <c r="J649" t="s">
        <v>13</v>
      </c>
      <c r="K649" s="4">
        <f>Table1[[#This Row],[Sales]]*Table1[[#This Row],[Quantity]]</f>
        <v>260100</v>
      </c>
      <c r="L649" s="4">
        <f>Table1[[#This Row],[Revenue]]-(Table1[[#This Row],[Revenue]]*Table1[[#This Row],[Discount]]/100)</f>
        <v>231489</v>
      </c>
    </row>
    <row r="650" spans="1:12" x14ac:dyDescent="0.55000000000000004">
      <c r="A650" t="s">
        <v>679</v>
      </c>
      <c r="B650" s="2">
        <v>45099</v>
      </c>
      <c r="C650" t="s">
        <v>19</v>
      </c>
      <c r="D650" t="s">
        <v>27</v>
      </c>
      <c r="E650" t="s">
        <v>11</v>
      </c>
      <c r="F650" t="s">
        <v>34</v>
      </c>
      <c r="G650">
        <v>37172</v>
      </c>
      <c r="H650">
        <v>7</v>
      </c>
      <c r="I650">
        <v>6</v>
      </c>
      <c r="J650" t="s">
        <v>25</v>
      </c>
      <c r="K650" s="4">
        <f>Table1[[#This Row],[Sales]]*Table1[[#This Row],[Quantity]]</f>
        <v>260204</v>
      </c>
      <c r="L650" s="4">
        <f>Table1[[#This Row],[Revenue]]-(Table1[[#This Row],[Revenue]]*Table1[[#This Row],[Discount]]/100)</f>
        <v>244591.76</v>
      </c>
    </row>
    <row r="651" spans="1:12" x14ac:dyDescent="0.55000000000000004">
      <c r="A651" t="s">
        <v>680</v>
      </c>
      <c r="B651" s="2">
        <v>45169</v>
      </c>
      <c r="C651" t="s">
        <v>24</v>
      </c>
      <c r="D651" t="s">
        <v>20</v>
      </c>
      <c r="E651" t="s">
        <v>17</v>
      </c>
      <c r="F651" t="s">
        <v>34</v>
      </c>
      <c r="G651">
        <v>3886</v>
      </c>
      <c r="H651">
        <v>8</v>
      </c>
      <c r="I651">
        <v>2</v>
      </c>
      <c r="J651" t="s">
        <v>25</v>
      </c>
      <c r="K651" s="4">
        <f>Table1[[#This Row],[Sales]]*Table1[[#This Row],[Quantity]]</f>
        <v>31088</v>
      </c>
      <c r="L651" s="4">
        <f>Table1[[#This Row],[Revenue]]-(Table1[[#This Row],[Revenue]]*Table1[[#This Row],[Discount]]/100)</f>
        <v>30466.240000000002</v>
      </c>
    </row>
    <row r="652" spans="1:12" x14ac:dyDescent="0.55000000000000004">
      <c r="A652" t="s">
        <v>681</v>
      </c>
      <c r="B652" s="2">
        <v>45070</v>
      </c>
      <c r="C652" t="s">
        <v>19</v>
      </c>
      <c r="D652" t="s">
        <v>16</v>
      </c>
      <c r="E652" t="s">
        <v>17</v>
      </c>
      <c r="F652" t="s">
        <v>48</v>
      </c>
      <c r="G652">
        <v>15704</v>
      </c>
      <c r="H652">
        <v>8</v>
      </c>
      <c r="I652">
        <v>13</v>
      </c>
      <c r="J652" t="s">
        <v>13</v>
      </c>
      <c r="K652" s="4">
        <f>Table1[[#This Row],[Sales]]*Table1[[#This Row],[Quantity]]</f>
        <v>125632</v>
      </c>
      <c r="L652" s="4">
        <f>Table1[[#This Row],[Revenue]]-(Table1[[#This Row],[Revenue]]*Table1[[#This Row],[Discount]]/100)</f>
        <v>109299.84</v>
      </c>
    </row>
    <row r="653" spans="1:12" x14ac:dyDescent="0.55000000000000004">
      <c r="A653" t="s">
        <v>682</v>
      </c>
      <c r="B653" s="2">
        <v>45169</v>
      </c>
      <c r="C653" t="s">
        <v>15</v>
      </c>
      <c r="D653" t="s">
        <v>46</v>
      </c>
      <c r="E653" t="s">
        <v>17</v>
      </c>
      <c r="F653" t="s">
        <v>48</v>
      </c>
      <c r="G653">
        <v>48340</v>
      </c>
      <c r="H653">
        <v>4</v>
      </c>
      <c r="I653">
        <v>4</v>
      </c>
      <c r="J653" t="s">
        <v>22</v>
      </c>
      <c r="K653" s="4">
        <f>Table1[[#This Row],[Sales]]*Table1[[#This Row],[Quantity]]</f>
        <v>193360</v>
      </c>
      <c r="L653" s="4">
        <f>Table1[[#This Row],[Revenue]]-(Table1[[#This Row],[Revenue]]*Table1[[#This Row],[Discount]]/100)</f>
        <v>185625.60000000001</v>
      </c>
    </row>
    <row r="654" spans="1:12" x14ac:dyDescent="0.55000000000000004">
      <c r="A654" t="s">
        <v>683</v>
      </c>
      <c r="B654" s="2">
        <v>45171</v>
      </c>
      <c r="C654" t="s">
        <v>24</v>
      </c>
      <c r="D654" t="s">
        <v>27</v>
      </c>
      <c r="E654" t="s">
        <v>11</v>
      </c>
      <c r="F654" t="s">
        <v>12</v>
      </c>
      <c r="G654">
        <v>17556</v>
      </c>
      <c r="H654">
        <v>3</v>
      </c>
      <c r="I654">
        <v>29</v>
      </c>
      <c r="J654" t="s">
        <v>25</v>
      </c>
      <c r="K654" s="4">
        <f>Table1[[#This Row],[Sales]]*Table1[[#This Row],[Quantity]]</f>
        <v>52668</v>
      </c>
      <c r="L654" s="4">
        <f>Table1[[#This Row],[Revenue]]-(Table1[[#This Row],[Revenue]]*Table1[[#This Row],[Discount]]/100)</f>
        <v>37394.28</v>
      </c>
    </row>
    <row r="655" spans="1:12" x14ac:dyDescent="0.55000000000000004">
      <c r="A655" t="s">
        <v>684</v>
      </c>
      <c r="B655" s="2">
        <v>45000</v>
      </c>
      <c r="C655" t="s">
        <v>15</v>
      </c>
      <c r="D655" t="s">
        <v>27</v>
      </c>
      <c r="E655" t="s">
        <v>17</v>
      </c>
      <c r="F655" t="s">
        <v>21</v>
      </c>
      <c r="G655">
        <v>2705</v>
      </c>
      <c r="H655">
        <v>2</v>
      </c>
      <c r="I655">
        <v>4</v>
      </c>
      <c r="J655" t="s">
        <v>25</v>
      </c>
      <c r="K655" s="4">
        <f>Table1[[#This Row],[Sales]]*Table1[[#This Row],[Quantity]]</f>
        <v>5410</v>
      </c>
      <c r="L655" s="4">
        <f>Table1[[#This Row],[Revenue]]-(Table1[[#This Row],[Revenue]]*Table1[[#This Row],[Discount]]/100)</f>
        <v>5193.6000000000004</v>
      </c>
    </row>
    <row r="656" spans="1:12" x14ac:dyDescent="0.55000000000000004">
      <c r="A656" t="s">
        <v>685</v>
      </c>
      <c r="B656" s="2">
        <v>44987</v>
      </c>
      <c r="C656" t="s">
        <v>31</v>
      </c>
      <c r="D656" t="s">
        <v>20</v>
      </c>
      <c r="E656" t="s">
        <v>11</v>
      </c>
      <c r="F656" t="s">
        <v>34</v>
      </c>
      <c r="G656">
        <v>29889</v>
      </c>
      <c r="H656">
        <v>10</v>
      </c>
      <c r="I656">
        <v>5</v>
      </c>
      <c r="J656" t="s">
        <v>13</v>
      </c>
      <c r="K656" s="4">
        <f>Table1[[#This Row],[Sales]]*Table1[[#This Row],[Quantity]]</f>
        <v>298890</v>
      </c>
      <c r="L656" s="4">
        <f>Table1[[#This Row],[Revenue]]-(Table1[[#This Row],[Revenue]]*Table1[[#This Row],[Discount]]/100)</f>
        <v>283945.5</v>
      </c>
    </row>
    <row r="657" spans="1:12" x14ac:dyDescent="0.55000000000000004">
      <c r="A657" t="s">
        <v>686</v>
      </c>
      <c r="B657" s="2">
        <v>44976</v>
      </c>
      <c r="C657" t="s">
        <v>19</v>
      </c>
      <c r="D657" t="s">
        <v>46</v>
      </c>
      <c r="E657" t="s">
        <v>17</v>
      </c>
      <c r="F657" t="s">
        <v>34</v>
      </c>
      <c r="G657">
        <v>1150</v>
      </c>
      <c r="H657">
        <v>7</v>
      </c>
      <c r="I657">
        <v>25</v>
      </c>
      <c r="J657" t="s">
        <v>22</v>
      </c>
      <c r="K657" s="4">
        <f>Table1[[#This Row],[Sales]]*Table1[[#This Row],[Quantity]]</f>
        <v>8050</v>
      </c>
      <c r="L657" s="4">
        <f>Table1[[#This Row],[Revenue]]-(Table1[[#This Row],[Revenue]]*Table1[[#This Row],[Discount]]/100)</f>
        <v>6037.5</v>
      </c>
    </row>
    <row r="658" spans="1:12" x14ac:dyDescent="0.55000000000000004">
      <c r="A658" t="s">
        <v>687</v>
      </c>
      <c r="B658" s="2">
        <v>45279</v>
      </c>
      <c r="C658" t="s">
        <v>19</v>
      </c>
      <c r="D658" t="s">
        <v>27</v>
      </c>
      <c r="E658" t="s">
        <v>11</v>
      </c>
      <c r="F658" t="s">
        <v>38</v>
      </c>
      <c r="G658">
        <v>38266</v>
      </c>
      <c r="H658">
        <v>3</v>
      </c>
      <c r="I658">
        <v>25</v>
      </c>
      <c r="J658" t="s">
        <v>22</v>
      </c>
      <c r="K658" s="4">
        <f>Table1[[#This Row],[Sales]]*Table1[[#This Row],[Quantity]]</f>
        <v>114798</v>
      </c>
      <c r="L658" s="4">
        <f>Table1[[#This Row],[Revenue]]-(Table1[[#This Row],[Revenue]]*Table1[[#This Row],[Discount]]/100)</f>
        <v>86098.5</v>
      </c>
    </row>
    <row r="659" spans="1:12" x14ac:dyDescent="0.55000000000000004">
      <c r="A659" t="s">
        <v>688</v>
      </c>
      <c r="B659" s="2">
        <v>44997</v>
      </c>
      <c r="C659" t="s">
        <v>15</v>
      </c>
      <c r="D659" t="s">
        <v>27</v>
      </c>
      <c r="E659" t="s">
        <v>11</v>
      </c>
      <c r="F659" t="s">
        <v>29</v>
      </c>
      <c r="G659">
        <v>22061</v>
      </c>
      <c r="H659">
        <v>10</v>
      </c>
      <c r="I659">
        <v>26</v>
      </c>
      <c r="J659" t="s">
        <v>22</v>
      </c>
      <c r="K659" s="4">
        <f>Table1[[#This Row],[Sales]]*Table1[[#This Row],[Quantity]]</f>
        <v>220610</v>
      </c>
      <c r="L659" s="4">
        <f>Table1[[#This Row],[Revenue]]-(Table1[[#This Row],[Revenue]]*Table1[[#This Row],[Discount]]/100)</f>
        <v>163251.4</v>
      </c>
    </row>
    <row r="660" spans="1:12" x14ac:dyDescent="0.55000000000000004">
      <c r="A660" t="s">
        <v>689</v>
      </c>
      <c r="B660" s="2">
        <v>44946</v>
      </c>
      <c r="C660" t="s">
        <v>24</v>
      </c>
      <c r="D660" t="s">
        <v>37</v>
      </c>
      <c r="E660" t="s">
        <v>17</v>
      </c>
      <c r="F660" t="s">
        <v>12</v>
      </c>
      <c r="G660">
        <v>35934</v>
      </c>
      <c r="H660">
        <v>3</v>
      </c>
      <c r="I660">
        <v>2</v>
      </c>
      <c r="J660" t="s">
        <v>25</v>
      </c>
      <c r="K660" s="4">
        <f>Table1[[#This Row],[Sales]]*Table1[[#This Row],[Quantity]]</f>
        <v>107802</v>
      </c>
      <c r="L660" s="4">
        <f>Table1[[#This Row],[Revenue]]-(Table1[[#This Row],[Revenue]]*Table1[[#This Row],[Discount]]/100)</f>
        <v>105645.96</v>
      </c>
    </row>
    <row r="661" spans="1:12" x14ac:dyDescent="0.55000000000000004">
      <c r="A661" t="s">
        <v>690</v>
      </c>
      <c r="B661" s="2">
        <v>45103</v>
      </c>
      <c r="C661" t="s">
        <v>24</v>
      </c>
      <c r="D661" t="s">
        <v>16</v>
      </c>
      <c r="E661" t="s">
        <v>11</v>
      </c>
      <c r="F661" t="s">
        <v>34</v>
      </c>
      <c r="G661">
        <v>14585</v>
      </c>
      <c r="H661">
        <v>8</v>
      </c>
      <c r="I661">
        <v>7</v>
      </c>
      <c r="J661" t="s">
        <v>22</v>
      </c>
      <c r="K661" s="4">
        <f>Table1[[#This Row],[Sales]]*Table1[[#This Row],[Quantity]]</f>
        <v>116680</v>
      </c>
      <c r="L661" s="4">
        <f>Table1[[#This Row],[Revenue]]-(Table1[[#This Row],[Revenue]]*Table1[[#This Row],[Discount]]/100)</f>
        <v>108512.4</v>
      </c>
    </row>
    <row r="662" spans="1:12" x14ac:dyDescent="0.55000000000000004">
      <c r="A662" t="s">
        <v>691</v>
      </c>
      <c r="B662" s="2">
        <v>45012</v>
      </c>
      <c r="C662" t="s">
        <v>15</v>
      </c>
      <c r="D662" t="s">
        <v>46</v>
      </c>
      <c r="E662" t="s">
        <v>11</v>
      </c>
      <c r="F662" t="s">
        <v>29</v>
      </c>
      <c r="G662">
        <v>25118</v>
      </c>
      <c r="H662">
        <v>6</v>
      </c>
      <c r="I662">
        <v>10</v>
      </c>
      <c r="J662" t="s">
        <v>13</v>
      </c>
      <c r="K662" s="4">
        <f>Table1[[#This Row],[Sales]]*Table1[[#This Row],[Quantity]]</f>
        <v>150708</v>
      </c>
      <c r="L662" s="4">
        <f>Table1[[#This Row],[Revenue]]-(Table1[[#This Row],[Revenue]]*Table1[[#This Row],[Discount]]/100)</f>
        <v>135637.20000000001</v>
      </c>
    </row>
    <row r="663" spans="1:12" x14ac:dyDescent="0.55000000000000004">
      <c r="A663" t="s">
        <v>692</v>
      </c>
      <c r="B663" s="2">
        <v>45013</v>
      </c>
      <c r="C663" t="s">
        <v>19</v>
      </c>
      <c r="D663" t="s">
        <v>16</v>
      </c>
      <c r="E663" t="s">
        <v>17</v>
      </c>
      <c r="F663" t="s">
        <v>34</v>
      </c>
      <c r="G663">
        <v>37070</v>
      </c>
      <c r="H663">
        <v>2</v>
      </c>
      <c r="I663">
        <v>20</v>
      </c>
      <c r="J663" t="s">
        <v>25</v>
      </c>
      <c r="K663" s="4">
        <f>Table1[[#This Row],[Sales]]*Table1[[#This Row],[Quantity]]</f>
        <v>74140</v>
      </c>
      <c r="L663" s="4">
        <f>Table1[[#This Row],[Revenue]]-(Table1[[#This Row],[Revenue]]*Table1[[#This Row],[Discount]]/100)</f>
        <v>59312</v>
      </c>
    </row>
    <row r="664" spans="1:12" x14ac:dyDescent="0.55000000000000004">
      <c r="A664" t="s">
        <v>693</v>
      </c>
      <c r="B664" s="2">
        <v>44963</v>
      </c>
      <c r="C664" t="s">
        <v>15</v>
      </c>
      <c r="D664" t="s">
        <v>37</v>
      </c>
      <c r="E664" t="s">
        <v>11</v>
      </c>
      <c r="F664" t="s">
        <v>21</v>
      </c>
      <c r="G664">
        <v>24228</v>
      </c>
      <c r="H664">
        <v>3</v>
      </c>
      <c r="I664">
        <v>19</v>
      </c>
      <c r="J664" t="s">
        <v>13</v>
      </c>
      <c r="K664" s="4">
        <f>Table1[[#This Row],[Sales]]*Table1[[#This Row],[Quantity]]</f>
        <v>72684</v>
      </c>
      <c r="L664" s="4">
        <f>Table1[[#This Row],[Revenue]]-(Table1[[#This Row],[Revenue]]*Table1[[#This Row],[Discount]]/100)</f>
        <v>58874.04</v>
      </c>
    </row>
    <row r="665" spans="1:12" x14ac:dyDescent="0.55000000000000004">
      <c r="A665" t="s">
        <v>694</v>
      </c>
      <c r="B665" s="2">
        <v>44964</v>
      </c>
      <c r="C665" t="s">
        <v>19</v>
      </c>
      <c r="D665" t="s">
        <v>20</v>
      </c>
      <c r="E665" t="s">
        <v>11</v>
      </c>
      <c r="F665" t="s">
        <v>29</v>
      </c>
      <c r="G665">
        <v>17094</v>
      </c>
      <c r="H665">
        <v>4</v>
      </c>
      <c r="I665">
        <v>15</v>
      </c>
      <c r="J665" t="s">
        <v>25</v>
      </c>
      <c r="K665" s="4">
        <f>Table1[[#This Row],[Sales]]*Table1[[#This Row],[Quantity]]</f>
        <v>68376</v>
      </c>
      <c r="L665" s="4">
        <f>Table1[[#This Row],[Revenue]]-(Table1[[#This Row],[Revenue]]*Table1[[#This Row],[Discount]]/100)</f>
        <v>58119.6</v>
      </c>
    </row>
    <row r="666" spans="1:12" x14ac:dyDescent="0.55000000000000004">
      <c r="A666" t="s">
        <v>695</v>
      </c>
      <c r="B666" s="2">
        <v>44972</v>
      </c>
      <c r="C666" t="s">
        <v>15</v>
      </c>
      <c r="D666" t="s">
        <v>20</v>
      </c>
      <c r="E666" t="s">
        <v>17</v>
      </c>
      <c r="F666" t="s">
        <v>34</v>
      </c>
      <c r="G666">
        <v>12713</v>
      </c>
      <c r="H666">
        <v>6</v>
      </c>
      <c r="I666">
        <v>22</v>
      </c>
      <c r="J666" t="s">
        <v>22</v>
      </c>
      <c r="K666" s="4">
        <f>Table1[[#This Row],[Sales]]*Table1[[#This Row],[Quantity]]</f>
        <v>76278</v>
      </c>
      <c r="L666" s="4">
        <f>Table1[[#This Row],[Revenue]]-(Table1[[#This Row],[Revenue]]*Table1[[#This Row],[Discount]]/100)</f>
        <v>59496.84</v>
      </c>
    </row>
    <row r="667" spans="1:12" x14ac:dyDescent="0.55000000000000004">
      <c r="A667" t="s">
        <v>696</v>
      </c>
      <c r="B667" s="2">
        <v>45183</v>
      </c>
      <c r="C667" t="s">
        <v>31</v>
      </c>
      <c r="D667" t="s">
        <v>20</v>
      </c>
      <c r="E667" t="s">
        <v>11</v>
      </c>
      <c r="F667" t="s">
        <v>44</v>
      </c>
      <c r="G667">
        <v>37812</v>
      </c>
      <c r="H667">
        <v>4</v>
      </c>
      <c r="I667">
        <v>24</v>
      </c>
      <c r="J667" t="s">
        <v>25</v>
      </c>
      <c r="K667" s="4">
        <f>Table1[[#This Row],[Sales]]*Table1[[#This Row],[Quantity]]</f>
        <v>151248</v>
      </c>
      <c r="L667" s="4">
        <f>Table1[[#This Row],[Revenue]]-(Table1[[#This Row],[Revenue]]*Table1[[#This Row],[Discount]]/100)</f>
        <v>114948.48000000001</v>
      </c>
    </row>
    <row r="668" spans="1:12" x14ac:dyDescent="0.55000000000000004">
      <c r="A668" t="s">
        <v>697</v>
      </c>
      <c r="B668" s="2">
        <v>44947</v>
      </c>
      <c r="C668" t="s">
        <v>24</v>
      </c>
      <c r="D668" t="s">
        <v>20</v>
      </c>
      <c r="E668" t="s">
        <v>17</v>
      </c>
      <c r="F668" t="s">
        <v>12</v>
      </c>
      <c r="G668">
        <v>35025</v>
      </c>
      <c r="H668">
        <v>5</v>
      </c>
      <c r="I668">
        <v>9</v>
      </c>
      <c r="J668" t="s">
        <v>25</v>
      </c>
      <c r="K668" s="4">
        <f>Table1[[#This Row],[Sales]]*Table1[[#This Row],[Quantity]]</f>
        <v>175125</v>
      </c>
      <c r="L668" s="4">
        <f>Table1[[#This Row],[Revenue]]-(Table1[[#This Row],[Revenue]]*Table1[[#This Row],[Discount]]/100)</f>
        <v>159363.75</v>
      </c>
    </row>
    <row r="669" spans="1:12" x14ac:dyDescent="0.55000000000000004">
      <c r="A669" t="s">
        <v>698</v>
      </c>
      <c r="B669" s="2">
        <v>45074</v>
      </c>
      <c r="C669" t="s">
        <v>24</v>
      </c>
      <c r="D669" t="s">
        <v>20</v>
      </c>
      <c r="E669" t="s">
        <v>17</v>
      </c>
      <c r="F669" t="s">
        <v>21</v>
      </c>
      <c r="G669">
        <v>47553</v>
      </c>
      <c r="H669">
        <v>9</v>
      </c>
      <c r="I669">
        <v>6</v>
      </c>
      <c r="J669" t="s">
        <v>25</v>
      </c>
      <c r="K669" s="4">
        <f>Table1[[#This Row],[Sales]]*Table1[[#This Row],[Quantity]]</f>
        <v>427977</v>
      </c>
      <c r="L669" s="4">
        <f>Table1[[#This Row],[Revenue]]-(Table1[[#This Row],[Revenue]]*Table1[[#This Row],[Discount]]/100)</f>
        <v>402298.38</v>
      </c>
    </row>
    <row r="670" spans="1:12" x14ac:dyDescent="0.55000000000000004">
      <c r="A670" t="s">
        <v>699</v>
      </c>
      <c r="B670" s="2">
        <v>44947</v>
      </c>
      <c r="C670" t="s">
        <v>19</v>
      </c>
      <c r="D670" t="s">
        <v>46</v>
      </c>
      <c r="E670" t="s">
        <v>11</v>
      </c>
      <c r="F670" t="s">
        <v>44</v>
      </c>
      <c r="G670">
        <v>5849</v>
      </c>
      <c r="H670">
        <v>5</v>
      </c>
      <c r="I670">
        <v>25</v>
      </c>
      <c r="J670" t="s">
        <v>25</v>
      </c>
      <c r="K670" s="4">
        <f>Table1[[#This Row],[Sales]]*Table1[[#This Row],[Quantity]]</f>
        <v>29245</v>
      </c>
      <c r="L670" s="4">
        <f>Table1[[#This Row],[Revenue]]-(Table1[[#This Row],[Revenue]]*Table1[[#This Row],[Discount]]/100)</f>
        <v>21933.75</v>
      </c>
    </row>
    <row r="671" spans="1:12" x14ac:dyDescent="0.55000000000000004">
      <c r="A671" t="s">
        <v>700</v>
      </c>
      <c r="B671" s="2">
        <v>45269</v>
      </c>
      <c r="C671" t="s">
        <v>31</v>
      </c>
      <c r="D671" t="s">
        <v>20</v>
      </c>
      <c r="E671" t="s">
        <v>11</v>
      </c>
      <c r="F671" t="s">
        <v>38</v>
      </c>
      <c r="G671">
        <v>9988</v>
      </c>
      <c r="H671">
        <v>7</v>
      </c>
      <c r="I671">
        <v>28</v>
      </c>
      <c r="J671" t="s">
        <v>25</v>
      </c>
      <c r="K671" s="4">
        <f>Table1[[#This Row],[Sales]]*Table1[[#This Row],[Quantity]]</f>
        <v>69916</v>
      </c>
      <c r="L671" s="4">
        <f>Table1[[#This Row],[Revenue]]-(Table1[[#This Row],[Revenue]]*Table1[[#This Row],[Discount]]/100)</f>
        <v>50339.520000000004</v>
      </c>
    </row>
    <row r="672" spans="1:12" x14ac:dyDescent="0.55000000000000004">
      <c r="A672" t="s">
        <v>701</v>
      </c>
      <c r="B672" s="2">
        <v>44998</v>
      </c>
      <c r="C672" t="s">
        <v>15</v>
      </c>
      <c r="D672" t="s">
        <v>20</v>
      </c>
      <c r="E672" t="s">
        <v>17</v>
      </c>
      <c r="F672" t="s">
        <v>12</v>
      </c>
      <c r="G672">
        <v>10535</v>
      </c>
      <c r="H672">
        <v>1</v>
      </c>
      <c r="I672">
        <v>26</v>
      </c>
      <c r="J672" t="s">
        <v>25</v>
      </c>
      <c r="K672" s="4">
        <f>Table1[[#This Row],[Sales]]*Table1[[#This Row],[Quantity]]</f>
        <v>10535</v>
      </c>
      <c r="L672" s="4">
        <f>Table1[[#This Row],[Revenue]]-(Table1[[#This Row],[Revenue]]*Table1[[#This Row],[Discount]]/100)</f>
        <v>7795.9</v>
      </c>
    </row>
    <row r="673" spans="1:12" x14ac:dyDescent="0.55000000000000004">
      <c r="A673" t="s">
        <v>702</v>
      </c>
      <c r="B673" s="2">
        <v>45035</v>
      </c>
      <c r="C673" t="s">
        <v>19</v>
      </c>
      <c r="D673" t="s">
        <v>27</v>
      </c>
      <c r="E673" t="s">
        <v>17</v>
      </c>
      <c r="F673" t="s">
        <v>29</v>
      </c>
      <c r="G673">
        <v>48265</v>
      </c>
      <c r="H673">
        <v>8</v>
      </c>
      <c r="I673">
        <v>16</v>
      </c>
      <c r="J673" t="s">
        <v>22</v>
      </c>
      <c r="K673" s="4">
        <f>Table1[[#This Row],[Sales]]*Table1[[#This Row],[Quantity]]</f>
        <v>386120</v>
      </c>
      <c r="L673" s="4">
        <f>Table1[[#This Row],[Revenue]]-(Table1[[#This Row],[Revenue]]*Table1[[#This Row],[Discount]]/100)</f>
        <v>324340.8</v>
      </c>
    </row>
    <row r="674" spans="1:12" x14ac:dyDescent="0.55000000000000004">
      <c r="A674" t="s">
        <v>703</v>
      </c>
      <c r="B674" s="2">
        <v>45120</v>
      </c>
      <c r="C674" t="s">
        <v>19</v>
      </c>
      <c r="D674" t="s">
        <v>46</v>
      </c>
      <c r="E674" t="s">
        <v>17</v>
      </c>
      <c r="F674" t="s">
        <v>34</v>
      </c>
      <c r="G674">
        <v>14864</v>
      </c>
      <c r="H674">
        <v>10</v>
      </c>
      <c r="I674">
        <v>6</v>
      </c>
      <c r="J674" t="s">
        <v>13</v>
      </c>
      <c r="K674" s="4">
        <f>Table1[[#This Row],[Sales]]*Table1[[#This Row],[Quantity]]</f>
        <v>148640</v>
      </c>
      <c r="L674" s="4">
        <f>Table1[[#This Row],[Revenue]]-(Table1[[#This Row],[Revenue]]*Table1[[#This Row],[Discount]]/100)</f>
        <v>139721.60000000001</v>
      </c>
    </row>
    <row r="675" spans="1:12" x14ac:dyDescent="0.55000000000000004">
      <c r="A675" t="s">
        <v>704</v>
      </c>
      <c r="B675" s="2">
        <v>44949</v>
      </c>
      <c r="C675" t="s">
        <v>24</v>
      </c>
      <c r="D675" t="s">
        <v>16</v>
      </c>
      <c r="E675" t="s">
        <v>17</v>
      </c>
      <c r="F675" t="s">
        <v>48</v>
      </c>
      <c r="G675">
        <v>23579</v>
      </c>
      <c r="H675">
        <v>2</v>
      </c>
      <c r="I675">
        <v>2</v>
      </c>
      <c r="J675" t="s">
        <v>25</v>
      </c>
      <c r="K675" s="4">
        <f>Table1[[#This Row],[Sales]]*Table1[[#This Row],[Quantity]]</f>
        <v>47158</v>
      </c>
      <c r="L675" s="4">
        <f>Table1[[#This Row],[Revenue]]-(Table1[[#This Row],[Revenue]]*Table1[[#This Row],[Discount]]/100)</f>
        <v>46214.84</v>
      </c>
    </row>
    <row r="676" spans="1:12" x14ac:dyDescent="0.55000000000000004">
      <c r="A676" t="s">
        <v>705</v>
      </c>
      <c r="B676" s="2">
        <v>45011</v>
      </c>
      <c r="C676" t="s">
        <v>31</v>
      </c>
      <c r="D676" t="s">
        <v>20</v>
      </c>
      <c r="E676" t="s">
        <v>11</v>
      </c>
      <c r="F676" t="s">
        <v>38</v>
      </c>
      <c r="G676">
        <v>31421</v>
      </c>
      <c r="H676">
        <v>2</v>
      </c>
      <c r="I676">
        <v>25</v>
      </c>
      <c r="J676" t="s">
        <v>25</v>
      </c>
      <c r="K676" s="4">
        <f>Table1[[#This Row],[Sales]]*Table1[[#This Row],[Quantity]]</f>
        <v>62842</v>
      </c>
      <c r="L676" s="4">
        <f>Table1[[#This Row],[Revenue]]-(Table1[[#This Row],[Revenue]]*Table1[[#This Row],[Discount]]/100)</f>
        <v>47131.5</v>
      </c>
    </row>
    <row r="677" spans="1:12" x14ac:dyDescent="0.55000000000000004">
      <c r="A677" t="s">
        <v>706</v>
      </c>
      <c r="B677" s="2">
        <v>45238</v>
      </c>
      <c r="C677" t="s">
        <v>15</v>
      </c>
      <c r="D677" t="s">
        <v>16</v>
      </c>
      <c r="E677" t="s">
        <v>11</v>
      </c>
      <c r="F677" t="s">
        <v>48</v>
      </c>
      <c r="G677">
        <v>46348</v>
      </c>
      <c r="H677">
        <v>5</v>
      </c>
      <c r="I677">
        <v>29</v>
      </c>
      <c r="J677" t="s">
        <v>25</v>
      </c>
      <c r="K677" s="4">
        <f>Table1[[#This Row],[Sales]]*Table1[[#This Row],[Quantity]]</f>
        <v>231740</v>
      </c>
      <c r="L677" s="4">
        <f>Table1[[#This Row],[Revenue]]-(Table1[[#This Row],[Revenue]]*Table1[[#This Row],[Discount]]/100)</f>
        <v>164535.4</v>
      </c>
    </row>
    <row r="678" spans="1:12" x14ac:dyDescent="0.55000000000000004">
      <c r="A678" t="s">
        <v>707</v>
      </c>
      <c r="B678" s="2">
        <v>45103</v>
      </c>
      <c r="C678" t="s">
        <v>24</v>
      </c>
      <c r="D678" t="s">
        <v>16</v>
      </c>
      <c r="E678" t="s">
        <v>17</v>
      </c>
      <c r="F678" t="s">
        <v>44</v>
      </c>
      <c r="G678">
        <v>13976</v>
      </c>
      <c r="H678">
        <v>1</v>
      </c>
      <c r="I678">
        <v>12</v>
      </c>
      <c r="J678" t="s">
        <v>22</v>
      </c>
      <c r="K678" s="4">
        <f>Table1[[#This Row],[Sales]]*Table1[[#This Row],[Quantity]]</f>
        <v>13976</v>
      </c>
      <c r="L678" s="4">
        <f>Table1[[#This Row],[Revenue]]-(Table1[[#This Row],[Revenue]]*Table1[[#This Row],[Discount]]/100)</f>
        <v>12298.880000000001</v>
      </c>
    </row>
    <row r="679" spans="1:12" x14ac:dyDescent="0.55000000000000004">
      <c r="A679" t="s">
        <v>708</v>
      </c>
      <c r="B679" s="2">
        <v>44966</v>
      </c>
      <c r="C679" t="s">
        <v>24</v>
      </c>
      <c r="D679" t="s">
        <v>27</v>
      </c>
      <c r="E679" t="s">
        <v>17</v>
      </c>
      <c r="F679" t="s">
        <v>48</v>
      </c>
      <c r="G679">
        <v>24623</v>
      </c>
      <c r="H679">
        <v>8</v>
      </c>
      <c r="I679">
        <v>30</v>
      </c>
      <c r="J679" t="s">
        <v>22</v>
      </c>
      <c r="K679" s="4">
        <f>Table1[[#This Row],[Sales]]*Table1[[#This Row],[Quantity]]</f>
        <v>196984</v>
      </c>
      <c r="L679" s="4">
        <f>Table1[[#This Row],[Revenue]]-(Table1[[#This Row],[Revenue]]*Table1[[#This Row],[Discount]]/100)</f>
        <v>137888.79999999999</v>
      </c>
    </row>
    <row r="680" spans="1:12" x14ac:dyDescent="0.55000000000000004">
      <c r="A680" t="s">
        <v>709</v>
      </c>
      <c r="B680" s="2">
        <v>45154</v>
      </c>
      <c r="C680" t="s">
        <v>24</v>
      </c>
      <c r="D680" t="s">
        <v>27</v>
      </c>
      <c r="E680" t="s">
        <v>17</v>
      </c>
      <c r="F680" t="s">
        <v>34</v>
      </c>
      <c r="G680">
        <v>25876</v>
      </c>
      <c r="H680">
        <v>1</v>
      </c>
      <c r="I680">
        <v>12</v>
      </c>
      <c r="J680" t="s">
        <v>13</v>
      </c>
      <c r="K680" s="4">
        <f>Table1[[#This Row],[Sales]]*Table1[[#This Row],[Quantity]]</f>
        <v>25876</v>
      </c>
      <c r="L680" s="4">
        <f>Table1[[#This Row],[Revenue]]-(Table1[[#This Row],[Revenue]]*Table1[[#This Row],[Discount]]/100)</f>
        <v>22770.880000000001</v>
      </c>
    </row>
    <row r="681" spans="1:12" x14ac:dyDescent="0.55000000000000004">
      <c r="A681" t="s">
        <v>710</v>
      </c>
      <c r="B681" s="2">
        <v>44961</v>
      </c>
      <c r="C681" t="s">
        <v>19</v>
      </c>
      <c r="D681" t="s">
        <v>16</v>
      </c>
      <c r="E681" t="s">
        <v>17</v>
      </c>
      <c r="F681" t="s">
        <v>48</v>
      </c>
      <c r="G681">
        <v>6702</v>
      </c>
      <c r="H681">
        <v>4</v>
      </c>
      <c r="I681">
        <v>24</v>
      </c>
      <c r="J681" t="s">
        <v>25</v>
      </c>
      <c r="K681" s="4">
        <f>Table1[[#This Row],[Sales]]*Table1[[#This Row],[Quantity]]</f>
        <v>26808</v>
      </c>
      <c r="L681" s="4">
        <f>Table1[[#This Row],[Revenue]]-(Table1[[#This Row],[Revenue]]*Table1[[#This Row],[Discount]]/100)</f>
        <v>20374.080000000002</v>
      </c>
    </row>
    <row r="682" spans="1:12" x14ac:dyDescent="0.55000000000000004">
      <c r="A682" t="s">
        <v>711</v>
      </c>
      <c r="B682" s="2">
        <v>45125</v>
      </c>
      <c r="C682" t="s">
        <v>15</v>
      </c>
      <c r="D682" t="s">
        <v>37</v>
      </c>
      <c r="E682" t="s">
        <v>17</v>
      </c>
      <c r="F682" t="s">
        <v>48</v>
      </c>
      <c r="G682">
        <v>30517</v>
      </c>
      <c r="H682">
        <v>6</v>
      </c>
      <c r="I682">
        <v>9</v>
      </c>
      <c r="J682" t="s">
        <v>25</v>
      </c>
      <c r="K682" s="4">
        <f>Table1[[#This Row],[Sales]]*Table1[[#This Row],[Quantity]]</f>
        <v>183102</v>
      </c>
      <c r="L682" s="4">
        <f>Table1[[#This Row],[Revenue]]-(Table1[[#This Row],[Revenue]]*Table1[[#This Row],[Discount]]/100)</f>
        <v>166622.82</v>
      </c>
    </row>
    <row r="683" spans="1:12" x14ac:dyDescent="0.55000000000000004">
      <c r="A683" t="s">
        <v>712</v>
      </c>
      <c r="B683" s="2">
        <v>44982</v>
      </c>
      <c r="C683" t="s">
        <v>31</v>
      </c>
      <c r="D683" t="s">
        <v>20</v>
      </c>
      <c r="E683" t="s">
        <v>11</v>
      </c>
      <c r="F683" t="s">
        <v>29</v>
      </c>
      <c r="G683">
        <v>40376</v>
      </c>
      <c r="H683">
        <v>7</v>
      </c>
      <c r="I683">
        <v>0</v>
      </c>
      <c r="J683" t="s">
        <v>22</v>
      </c>
      <c r="K683" s="4">
        <f>Table1[[#This Row],[Sales]]*Table1[[#This Row],[Quantity]]</f>
        <v>282632</v>
      </c>
      <c r="L683" s="4">
        <f>Table1[[#This Row],[Revenue]]-(Table1[[#This Row],[Revenue]]*Table1[[#This Row],[Discount]]/100)</f>
        <v>282632</v>
      </c>
    </row>
    <row r="684" spans="1:12" x14ac:dyDescent="0.55000000000000004">
      <c r="A684" t="s">
        <v>713</v>
      </c>
      <c r="B684" s="2">
        <v>45055</v>
      </c>
      <c r="C684" t="s">
        <v>19</v>
      </c>
      <c r="D684" t="s">
        <v>20</v>
      </c>
      <c r="E684" t="s">
        <v>17</v>
      </c>
      <c r="F684" t="s">
        <v>38</v>
      </c>
      <c r="G684">
        <v>17469</v>
      </c>
      <c r="H684">
        <v>1</v>
      </c>
      <c r="I684">
        <v>9</v>
      </c>
      <c r="J684" t="s">
        <v>22</v>
      </c>
      <c r="K684" s="4">
        <f>Table1[[#This Row],[Sales]]*Table1[[#This Row],[Quantity]]</f>
        <v>17469</v>
      </c>
      <c r="L684" s="4">
        <f>Table1[[#This Row],[Revenue]]-(Table1[[#This Row],[Revenue]]*Table1[[#This Row],[Discount]]/100)</f>
        <v>15896.79</v>
      </c>
    </row>
    <row r="685" spans="1:12" x14ac:dyDescent="0.55000000000000004">
      <c r="A685" t="s">
        <v>714</v>
      </c>
      <c r="B685" s="2">
        <v>44941</v>
      </c>
      <c r="C685" t="s">
        <v>15</v>
      </c>
      <c r="D685" t="s">
        <v>27</v>
      </c>
      <c r="E685" t="s">
        <v>11</v>
      </c>
      <c r="F685" t="s">
        <v>21</v>
      </c>
      <c r="G685">
        <v>9088</v>
      </c>
      <c r="H685">
        <v>9</v>
      </c>
      <c r="I685">
        <v>13</v>
      </c>
      <c r="J685" t="s">
        <v>22</v>
      </c>
      <c r="K685" s="4">
        <f>Table1[[#This Row],[Sales]]*Table1[[#This Row],[Quantity]]</f>
        <v>81792</v>
      </c>
      <c r="L685" s="4">
        <f>Table1[[#This Row],[Revenue]]-(Table1[[#This Row],[Revenue]]*Table1[[#This Row],[Discount]]/100)</f>
        <v>71159.040000000008</v>
      </c>
    </row>
    <row r="686" spans="1:12" x14ac:dyDescent="0.55000000000000004">
      <c r="A686" t="s">
        <v>715</v>
      </c>
      <c r="B686" s="2">
        <v>45142</v>
      </c>
      <c r="C686" t="s">
        <v>15</v>
      </c>
      <c r="D686" t="s">
        <v>16</v>
      </c>
      <c r="E686" t="s">
        <v>17</v>
      </c>
      <c r="F686" t="s">
        <v>38</v>
      </c>
      <c r="G686">
        <v>16575</v>
      </c>
      <c r="H686">
        <v>1</v>
      </c>
      <c r="I686">
        <v>8</v>
      </c>
      <c r="J686" t="s">
        <v>22</v>
      </c>
      <c r="K686" s="4">
        <f>Table1[[#This Row],[Sales]]*Table1[[#This Row],[Quantity]]</f>
        <v>16575</v>
      </c>
      <c r="L686" s="4">
        <f>Table1[[#This Row],[Revenue]]-(Table1[[#This Row],[Revenue]]*Table1[[#This Row],[Discount]]/100)</f>
        <v>15249</v>
      </c>
    </row>
    <row r="687" spans="1:12" x14ac:dyDescent="0.55000000000000004">
      <c r="A687" t="s">
        <v>716</v>
      </c>
      <c r="B687" s="2">
        <v>45194</v>
      </c>
      <c r="C687" t="s">
        <v>24</v>
      </c>
      <c r="D687" t="s">
        <v>20</v>
      </c>
      <c r="E687" t="s">
        <v>11</v>
      </c>
      <c r="F687" t="s">
        <v>29</v>
      </c>
      <c r="G687">
        <v>492</v>
      </c>
      <c r="H687">
        <v>2</v>
      </c>
      <c r="I687">
        <v>18</v>
      </c>
      <c r="J687" t="s">
        <v>13</v>
      </c>
      <c r="K687" s="4">
        <f>Table1[[#This Row],[Sales]]*Table1[[#This Row],[Quantity]]</f>
        <v>984</v>
      </c>
      <c r="L687" s="4">
        <f>Table1[[#This Row],[Revenue]]-(Table1[[#This Row],[Revenue]]*Table1[[#This Row],[Discount]]/100)</f>
        <v>806.88</v>
      </c>
    </row>
    <row r="688" spans="1:12" x14ac:dyDescent="0.55000000000000004">
      <c r="A688" t="s">
        <v>717</v>
      </c>
      <c r="B688" s="2">
        <v>45057</v>
      </c>
      <c r="C688" t="s">
        <v>19</v>
      </c>
      <c r="D688" t="s">
        <v>46</v>
      </c>
      <c r="E688" t="s">
        <v>11</v>
      </c>
      <c r="F688" t="s">
        <v>34</v>
      </c>
      <c r="G688">
        <v>41650</v>
      </c>
      <c r="H688">
        <v>8</v>
      </c>
      <c r="I688">
        <v>17</v>
      </c>
      <c r="J688" t="s">
        <v>13</v>
      </c>
      <c r="K688" s="4">
        <f>Table1[[#This Row],[Sales]]*Table1[[#This Row],[Quantity]]</f>
        <v>333200</v>
      </c>
      <c r="L688" s="4">
        <f>Table1[[#This Row],[Revenue]]-(Table1[[#This Row],[Revenue]]*Table1[[#This Row],[Discount]]/100)</f>
        <v>276556</v>
      </c>
    </row>
    <row r="689" spans="1:12" x14ac:dyDescent="0.55000000000000004">
      <c r="A689" t="s">
        <v>718</v>
      </c>
      <c r="B689" s="2">
        <v>45111</v>
      </c>
      <c r="C689" t="s">
        <v>19</v>
      </c>
      <c r="D689" t="s">
        <v>20</v>
      </c>
      <c r="E689" t="s">
        <v>11</v>
      </c>
      <c r="F689" t="s">
        <v>44</v>
      </c>
      <c r="G689">
        <v>23192</v>
      </c>
      <c r="H689">
        <v>4</v>
      </c>
      <c r="I689">
        <v>30</v>
      </c>
      <c r="J689" t="s">
        <v>22</v>
      </c>
      <c r="K689" s="4">
        <f>Table1[[#This Row],[Sales]]*Table1[[#This Row],[Quantity]]</f>
        <v>92768</v>
      </c>
      <c r="L689" s="4">
        <f>Table1[[#This Row],[Revenue]]-(Table1[[#This Row],[Revenue]]*Table1[[#This Row],[Discount]]/100)</f>
        <v>64937.599999999999</v>
      </c>
    </row>
    <row r="690" spans="1:12" x14ac:dyDescent="0.55000000000000004">
      <c r="A690" t="s">
        <v>719</v>
      </c>
      <c r="B690" s="2">
        <v>45116</v>
      </c>
      <c r="C690" t="s">
        <v>19</v>
      </c>
      <c r="D690" t="s">
        <v>46</v>
      </c>
      <c r="E690" t="s">
        <v>11</v>
      </c>
      <c r="F690" t="s">
        <v>48</v>
      </c>
      <c r="G690">
        <v>31391</v>
      </c>
      <c r="H690">
        <v>8</v>
      </c>
      <c r="I690">
        <v>8</v>
      </c>
      <c r="J690" t="s">
        <v>22</v>
      </c>
      <c r="K690" s="4">
        <f>Table1[[#This Row],[Sales]]*Table1[[#This Row],[Quantity]]</f>
        <v>251128</v>
      </c>
      <c r="L690" s="4">
        <f>Table1[[#This Row],[Revenue]]-(Table1[[#This Row],[Revenue]]*Table1[[#This Row],[Discount]]/100)</f>
        <v>231037.76</v>
      </c>
    </row>
    <row r="691" spans="1:12" x14ac:dyDescent="0.55000000000000004">
      <c r="A691" t="s">
        <v>720</v>
      </c>
      <c r="B691" s="2">
        <v>45245</v>
      </c>
      <c r="C691" t="s">
        <v>19</v>
      </c>
      <c r="D691" t="s">
        <v>27</v>
      </c>
      <c r="E691" t="s">
        <v>17</v>
      </c>
      <c r="F691" t="s">
        <v>44</v>
      </c>
      <c r="G691">
        <v>24506</v>
      </c>
      <c r="H691">
        <v>3</v>
      </c>
      <c r="I691">
        <v>7</v>
      </c>
      <c r="J691" t="s">
        <v>13</v>
      </c>
      <c r="K691" s="4">
        <f>Table1[[#This Row],[Sales]]*Table1[[#This Row],[Quantity]]</f>
        <v>73518</v>
      </c>
      <c r="L691" s="4">
        <f>Table1[[#This Row],[Revenue]]-(Table1[[#This Row],[Revenue]]*Table1[[#This Row],[Discount]]/100)</f>
        <v>68371.740000000005</v>
      </c>
    </row>
    <row r="692" spans="1:12" x14ac:dyDescent="0.55000000000000004">
      <c r="A692" t="s">
        <v>721</v>
      </c>
      <c r="B692" s="2">
        <v>45103</v>
      </c>
      <c r="C692" t="s">
        <v>15</v>
      </c>
      <c r="D692" t="s">
        <v>16</v>
      </c>
      <c r="E692" t="s">
        <v>17</v>
      </c>
      <c r="F692" t="s">
        <v>34</v>
      </c>
      <c r="G692">
        <v>9613</v>
      </c>
      <c r="H692">
        <v>8</v>
      </c>
      <c r="I692">
        <v>29</v>
      </c>
      <c r="J692" t="s">
        <v>25</v>
      </c>
      <c r="K692" s="4">
        <f>Table1[[#This Row],[Sales]]*Table1[[#This Row],[Quantity]]</f>
        <v>76904</v>
      </c>
      <c r="L692" s="4">
        <f>Table1[[#This Row],[Revenue]]-(Table1[[#This Row],[Revenue]]*Table1[[#This Row],[Discount]]/100)</f>
        <v>54601.84</v>
      </c>
    </row>
    <row r="693" spans="1:12" x14ac:dyDescent="0.55000000000000004">
      <c r="A693" t="s">
        <v>722</v>
      </c>
      <c r="B693" s="2">
        <v>45066</v>
      </c>
      <c r="C693" t="s">
        <v>24</v>
      </c>
      <c r="D693" t="s">
        <v>16</v>
      </c>
      <c r="E693" t="s">
        <v>11</v>
      </c>
      <c r="F693" t="s">
        <v>38</v>
      </c>
      <c r="G693">
        <v>48025</v>
      </c>
      <c r="H693">
        <v>3</v>
      </c>
      <c r="I693">
        <v>24</v>
      </c>
      <c r="J693" t="s">
        <v>13</v>
      </c>
      <c r="K693" s="4">
        <f>Table1[[#This Row],[Sales]]*Table1[[#This Row],[Quantity]]</f>
        <v>144075</v>
      </c>
      <c r="L693" s="4">
        <f>Table1[[#This Row],[Revenue]]-(Table1[[#This Row],[Revenue]]*Table1[[#This Row],[Discount]]/100)</f>
        <v>109497</v>
      </c>
    </row>
    <row r="694" spans="1:12" x14ac:dyDescent="0.55000000000000004">
      <c r="A694" t="s">
        <v>723</v>
      </c>
      <c r="B694" s="2">
        <v>45177</v>
      </c>
      <c r="C694" t="s">
        <v>15</v>
      </c>
      <c r="D694" t="s">
        <v>27</v>
      </c>
      <c r="E694" t="s">
        <v>11</v>
      </c>
      <c r="F694" t="s">
        <v>48</v>
      </c>
      <c r="G694">
        <v>22717</v>
      </c>
      <c r="H694">
        <v>8</v>
      </c>
      <c r="I694">
        <v>20</v>
      </c>
      <c r="J694" t="s">
        <v>13</v>
      </c>
      <c r="K694" s="4">
        <f>Table1[[#This Row],[Sales]]*Table1[[#This Row],[Quantity]]</f>
        <v>181736</v>
      </c>
      <c r="L694" s="4">
        <f>Table1[[#This Row],[Revenue]]-(Table1[[#This Row],[Revenue]]*Table1[[#This Row],[Discount]]/100)</f>
        <v>145388.79999999999</v>
      </c>
    </row>
    <row r="695" spans="1:12" x14ac:dyDescent="0.55000000000000004">
      <c r="A695" t="s">
        <v>724</v>
      </c>
      <c r="B695" s="2">
        <v>45203</v>
      </c>
      <c r="C695" t="s">
        <v>24</v>
      </c>
      <c r="D695" t="s">
        <v>27</v>
      </c>
      <c r="E695" t="s">
        <v>11</v>
      </c>
      <c r="F695" t="s">
        <v>48</v>
      </c>
      <c r="G695">
        <v>32031</v>
      </c>
      <c r="H695">
        <v>9</v>
      </c>
      <c r="I695">
        <v>30</v>
      </c>
      <c r="J695" t="s">
        <v>22</v>
      </c>
      <c r="K695" s="4">
        <f>Table1[[#This Row],[Sales]]*Table1[[#This Row],[Quantity]]</f>
        <v>288279</v>
      </c>
      <c r="L695" s="4">
        <f>Table1[[#This Row],[Revenue]]-(Table1[[#This Row],[Revenue]]*Table1[[#This Row],[Discount]]/100)</f>
        <v>201795.3</v>
      </c>
    </row>
    <row r="696" spans="1:12" x14ac:dyDescent="0.55000000000000004">
      <c r="A696" t="s">
        <v>725</v>
      </c>
      <c r="B696" s="2">
        <v>45146</v>
      </c>
      <c r="C696" t="s">
        <v>31</v>
      </c>
      <c r="D696" t="s">
        <v>27</v>
      </c>
      <c r="E696" t="s">
        <v>11</v>
      </c>
      <c r="F696" t="s">
        <v>38</v>
      </c>
      <c r="G696">
        <v>19116</v>
      </c>
      <c r="H696">
        <v>3</v>
      </c>
      <c r="I696">
        <v>25</v>
      </c>
      <c r="J696" t="s">
        <v>22</v>
      </c>
      <c r="K696" s="4">
        <f>Table1[[#This Row],[Sales]]*Table1[[#This Row],[Quantity]]</f>
        <v>57348</v>
      </c>
      <c r="L696" s="4">
        <f>Table1[[#This Row],[Revenue]]-(Table1[[#This Row],[Revenue]]*Table1[[#This Row],[Discount]]/100)</f>
        <v>43011</v>
      </c>
    </row>
    <row r="697" spans="1:12" x14ac:dyDescent="0.55000000000000004">
      <c r="A697" t="s">
        <v>726</v>
      </c>
      <c r="B697" s="2">
        <v>45092</v>
      </c>
      <c r="C697" t="s">
        <v>19</v>
      </c>
      <c r="D697" t="s">
        <v>16</v>
      </c>
      <c r="E697" t="s">
        <v>17</v>
      </c>
      <c r="F697" t="s">
        <v>21</v>
      </c>
      <c r="G697">
        <v>25258</v>
      </c>
      <c r="H697">
        <v>2</v>
      </c>
      <c r="I697">
        <v>10</v>
      </c>
      <c r="J697" t="s">
        <v>22</v>
      </c>
      <c r="K697" s="4">
        <f>Table1[[#This Row],[Sales]]*Table1[[#This Row],[Quantity]]</f>
        <v>50516</v>
      </c>
      <c r="L697" s="4">
        <f>Table1[[#This Row],[Revenue]]-(Table1[[#This Row],[Revenue]]*Table1[[#This Row],[Discount]]/100)</f>
        <v>45464.4</v>
      </c>
    </row>
    <row r="698" spans="1:12" x14ac:dyDescent="0.55000000000000004">
      <c r="A698" t="s">
        <v>727</v>
      </c>
      <c r="B698" s="2">
        <v>45199</v>
      </c>
      <c r="C698" t="s">
        <v>31</v>
      </c>
      <c r="D698" t="s">
        <v>37</v>
      </c>
      <c r="E698" t="s">
        <v>11</v>
      </c>
      <c r="F698" t="s">
        <v>12</v>
      </c>
      <c r="G698">
        <v>43108</v>
      </c>
      <c r="H698">
        <v>9</v>
      </c>
      <c r="I698">
        <v>20</v>
      </c>
      <c r="J698" t="s">
        <v>25</v>
      </c>
      <c r="K698" s="4">
        <f>Table1[[#This Row],[Sales]]*Table1[[#This Row],[Quantity]]</f>
        <v>387972</v>
      </c>
      <c r="L698" s="4">
        <f>Table1[[#This Row],[Revenue]]-(Table1[[#This Row],[Revenue]]*Table1[[#This Row],[Discount]]/100)</f>
        <v>310377.59999999998</v>
      </c>
    </row>
    <row r="699" spans="1:12" x14ac:dyDescent="0.55000000000000004">
      <c r="A699" t="s">
        <v>728</v>
      </c>
      <c r="B699" s="2">
        <v>45185</v>
      </c>
      <c r="C699" t="s">
        <v>15</v>
      </c>
      <c r="D699" t="s">
        <v>37</v>
      </c>
      <c r="E699" t="s">
        <v>11</v>
      </c>
      <c r="F699" t="s">
        <v>21</v>
      </c>
      <c r="G699">
        <v>19693</v>
      </c>
      <c r="H699">
        <v>6</v>
      </c>
      <c r="I699">
        <v>15</v>
      </c>
      <c r="J699" t="s">
        <v>25</v>
      </c>
      <c r="K699" s="4">
        <f>Table1[[#This Row],[Sales]]*Table1[[#This Row],[Quantity]]</f>
        <v>118158</v>
      </c>
      <c r="L699" s="4">
        <f>Table1[[#This Row],[Revenue]]-(Table1[[#This Row],[Revenue]]*Table1[[#This Row],[Discount]]/100)</f>
        <v>100434.3</v>
      </c>
    </row>
    <row r="700" spans="1:12" x14ac:dyDescent="0.55000000000000004">
      <c r="A700" t="s">
        <v>729</v>
      </c>
      <c r="B700" s="2">
        <v>45037</v>
      </c>
      <c r="C700" t="s">
        <v>19</v>
      </c>
      <c r="D700" t="s">
        <v>37</v>
      </c>
      <c r="E700" t="s">
        <v>17</v>
      </c>
      <c r="F700" t="s">
        <v>34</v>
      </c>
      <c r="G700">
        <v>7035</v>
      </c>
      <c r="H700">
        <v>4</v>
      </c>
      <c r="I700">
        <v>19</v>
      </c>
      <c r="J700" t="s">
        <v>13</v>
      </c>
      <c r="K700" s="4">
        <f>Table1[[#This Row],[Sales]]*Table1[[#This Row],[Quantity]]</f>
        <v>28140</v>
      </c>
      <c r="L700" s="4">
        <f>Table1[[#This Row],[Revenue]]-(Table1[[#This Row],[Revenue]]*Table1[[#This Row],[Discount]]/100)</f>
        <v>22793.4</v>
      </c>
    </row>
    <row r="701" spans="1:12" x14ac:dyDescent="0.55000000000000004">
      <c r="A701" t="s">
        <v>730</v>
      </c>
      <c r="B701" s="2">
        <v>45263</v>
      </c>
      <c r="C701" t="s">
        <v>19</v>
      </c>
      <c r="D701" t="s">
        <v>20</v>
      </c>
      <c r="E701" t="s">
        <v>11</v>
      </c>
      <c r="F701" t="s">
        <v>34</v>
      </c>
      <c r="G701">
        <v>12451</v>
      </c>
      <c r="H701">
        <v>9</v>
      </c>
      <c r="I701">
        <v>12</v>
      </c>
      <c r="J701" t="s">
        <v>22</v>
      </c>
      <c r="K701" s="4">
        <f>Table1[[#This Row],[Sales]]*Table1[[#This Row],[Quantity]]</f>
        <v>112059</v>
      </c>
      <c r="L701" s="4">
        <f>Table1[[#This Row],[Revenue]]-(Table1[[#This Row],[Revenue]]*Table1[[#This Row],[Discount]]/100)</f>
        <v>98611.92</v>
      </c>
    </row>
    <row r="702" spans="1:12" x14ac:dyDescent="0.55000000000000004">
      <c r="A702" t="s">
        <v>731</v>
      </c>
      <c r="B702" s="2">
        <v>45212</v>
      </c>
      <c r="C702" t="s">
        <v>19</v>
      </c>
      <c r="D702" t="s">
        <v>37</v>
      </c>
      <c r="E702" t="s">
        <v>11</v>
      </c>
      <c r="F702" t="s">
        <v>48</v>
      </c>
      <c r="G702">
        <v>21191</v>
      </c>
      <c r="H702">
        <v>8</v>
      </c>
      <c r="I702">
        <v>23</v>
      </c>
      <c r="J702" t="s">
        <v>25</v>
      </c>
      <c r="K702" s="4">
        <f>Table1[[#This Row],[Sales]]*Table1[[#This Row],[Quantity]]</f>
        <v>169528</v>
      </c>
      <c r="L702" s="4">
        <f>Table1[[#This Row],[Revenue]]-(Table1[[#This Row],[Revenue]]*Table1[[#This Row],[Discount]]/100)</f>
        <v>130536.56</v>
      </c>
    </row>
    <row r="703" spans="1:12" x14ac:dyDescent="0.55000000000000004">
      <c r="A703" t="s">
        <v>732</v>
      </c>
      <c r="B703" s="2">
        <v>45055</v>
      </c>
      <c r="C703" t="s">
        <v>15</v>
      </c>
      <c r="D703" t="s">
        <v>20</v>
      </c>
      <c r="E703" t="s">
        <v>17</v>
      </c>
      <c r="F703" t="s">
        <v>48</v>
      </c>
      <c r="G703">
        <v>49159</v>
      </c>
      <c r="H703">
        <v>6</v>
      </c>
      <c r="I703">
        <v>24</v>
      </c>
      <c r="J703" t="s">
        <v>22</v>
      </c>
      <c r="K703" s="4">
        <f>Table1[[#This Row],[Sales]]*Table1[[#This Row],[Quantity]]</f>
        <v>294954</v>
      </c>
      <c r="L703" s="4">
        <f>Table1[[#This Row],[Revenue]]-(Table1[[#This Row],[Revenue]]*Table1[[#This Row],[Discount]]/100)</f>
        <v>224165.03999999998</v>
      </c>
    </row>
    <row r="704" spans="1:12" x14ac:dyDescent="0.55000000000000004">
      <c r="A704" t="s">
        <v>733</v>
      </c>
      <c r="B704" s="2">
        <v>45102</v>
      </c>
      <c r="C704" t="s">
        <v>15</v>
      </c>
      <c r="D704" t="s">
        <v>27</v>
      </c>
      <c r="E704" t="s">
        <v>17</v>
      </c>
      <c r="F704" t="s">
        <v>48</v>
      </c>
      <c r="G704">
        <v>40297</v>
      </c>
      <c r="H704">
        <v>7</v>
      </c>
      <c r="I704">
        <v>23</v>
      </c>
      <c r="J704" t="s">
        <v>22</v>
      </c>
      <c r="K704" s="4">
        <f>Table1[[#This Row],[Sales]]*Table1[[#This Row],[Quantity]]</f>
        <v>282079</v>
      </c>
      <c r="L704" s="4">
        <f>Table1[[#This Row],[Revenue]]-(Table1[[#This Row],[Revenue]]*Table1[[#This Row],[Discount]]/100)</f>
        <v>217200.83000000002</v>
      </c>
    </row>
    <row r="705" spans="1:12" x14ac:dyDescent="0.55000000000000004">
      <c r="A705" t="s">
        <v>734</v>
      </c>
      <c r="B705" s="2">
        <v>45228</v>
      </c>
      <c r="C705" t="s">
        <v>31</v>
      </c>
      <c r="D705" t="s">
        <v>46</v>
      </c>
      <c r="E705" t="s">
        <v>11</v>
      </c>
      <c r="F705" t="s">
        <v>29</v>
      </c>
      <c r="G705">
        <v>31459</v>
      </c>
      <c r="H705">
        <v>4</v>
      </c>
      <c r="I705">
        <v>0</v>
      </c>
      <c r="J705" t="s">
        <v>22</v>
      </c>
      <c r="K705" s="4">
        <f>Table1[[#This Row],[Sales]]*Table1[[#This Row],[Quantity]]</f>
        <v>125836</v>
      </c>
      <c r="L705" s="4">
        <f>Table1[[#This Row],[Revenue]]-(Table1[[#This Row],[Revenue]]*Table1[[#This Row],[Discount]]/100)</f>
        <v>125836</v>
      </c>
    </row>
    <row r="706" spans="1:12" x14ac:dyDescent="0.55000000000000004">
      <c r="A706" t="s">
        <v>735</v>
      </c>
      <c r="B706" s="2">
        <v>45059</v>
      </c>
      <c r="C706" t="s">
        <v>24</v>
      </c>
      <c r="D706" t="s">
        <v>20</v>
      </c>
      <c r="E706" t="s">
        <v>17</v>
      </c>
      <c r="F706" t="s">
        <v>38</v>
      </c>
      <c r="G706">
        <v>18415</v>
      </c>
      <c r="H706">
        <v>7</v>
      </c>
      <c r="I706">
        <v>0</v>
      </c>
      <c r="J706" t="s">
        <v>13</v>
      </c>
      <c r="K706" s="4">
        <f>Table1[[#This Row],[Sales]]*Table1[[#This Row],[Quantity]]</f>
        <v>128905</v>
      </c>
      <c r="L706" s="4">
        <f>Table1[[#This Row],[Revenue]]-(Table1[[#This Row],[Revenue]]*Table1[[#This Row],[Discount]]/100)</f>
        <v>128905</v>
      </c>
    </row>
    <row r="707" spans="1:12" x14ac:dyDescent="0.55000000000000004">
      <c r="A707" t="s">
        <v>736</v>
      </c>
      <c r="B707" s="2">
        <v>45219</v>
      </c>
      <c r="C707" t="s">
        <v>19</v>
      </c>
      <c r="D707" t="s">
        <v>46</v>
      </c>
      <c r="E707" t="s">
        <v>11</v>
      </c>
      <c r="F707" t="s">
        <v>48</v>
      </c>
      <c r="G707">
        <v>39158</v>
      </c>
      <c r="H707">
        <v>1</v>
      </c>
      <c r="I707">
        <v>19</v>
      </c>
      <c r="J707" t="s">
        <v>13</v>
      </c>
      <c r="K707" s="4">
        <f>Table1[[#This Row],[Sales]]*Table1[[#This Row],[Quantity]]</f>
        <v>39158</v>
      </c>
      <c r="L707" s="4">
        <f>Table1[[#This Row],[Revenue]]-(Table1[[#This Row],[Revenue]]*Table1[[#This Row],[Discount]]/100)</f>
        <v>31717.98</v>
      </c>
    </row>
    <row r="708" spans="1:12" x14ac:dyDescent="0.55000000000000004">
      <c r="A708" t="s">
        <v>737</v>
      </c>
      <c r="B708" s="2">
        <v>45239</v>
      </c>
      <c r="C708" t="s">
        <v>24</v>
      </c>
      <c r="D708" t="s">
        <v>46</v>
      </c>
      <c r="E708" t="s">
        <v>17</v>
      </c>
      <c r="F708" t="s">
        <v>44</v>
      </c>
      <c r="G708">
        <v>38881</v>
      </c>
      <c r="H708">
        <v>4</v>
      </c>
      <c r="I708">
        <v>23</v>
      </c>
      <c r="J708" t="s">
        <v>22</v>
      </c>
      <c r="K708" s="4">
        <f>Table1[[#This Row],[Sales]]*Table1[[#This Row],[Quantity]]</f>
        <v>155524</v>
      </c>
      <c r="L708" s="4">
        <f>Table1[[#This Row],[Revenue]]-(Table1[[#This Row],[Revenue]]*Table1[[#This Row],[Discount]]/100)</f>
        <v>119753.48000000001</v>
      </c>
    </row>
    <row r="709" spans="1:12" x14ac:dyDescent="0.55000000000000004">
      <c r="A709" t="s">
        <v>738</v>
      </c>
      <c r="B709" s="2">
        <v>44933</v>
      </c>
      <c r="C709" t="s">
        <v>24</v>
      </c>
      <c r="D709" t="s">
        <v>16</v>
      </c>
      <c r="E709" t="s">
        <v>17</v>
      </c>
      <c r="F709" t="s">
        <v>44</v>
      </c>
      <c r="G709">
        <v>6292</v>
      </c>
      <c r="H709">
        <v>9</v>
      </c>
      <c r="I709">
        <v>0</v>
      </c>
      <c r="J709" t="s">
        <v>25</v>
      </c>
      <c r="K709" s="4">
        <f>Table1[[#This Row],[Sales]]*Table1[[#This Row],[Quantity]]</f>
        <v>56628</v>
      </c>
      <c r="L709" s="4">
        <f>Table1[[#This Row],[Revenue]]-(Table1[[#This Row],[Revenue]]*Table1[[#This Row],[Discount]]/100)</f>
        <v>56628</v>
      </c>
    </row>
    <row r="710" spans="1:12" x14ac:dyDescent="0.55000000000000004">
      <c r="A710" t="s">
        <v>739</v>
      </c>
      <c r="B710" s="2">
        <v>45153</v>
      </c>
      <c r="C710" t="s">
        <v>19</v>
      </c>
      <c r="D710" t="s">
        <v>20</v>
      </c>
      <c r="E710" t="s">
        <v>11</v>
      </c>
      <c r="F710" t="s">
        <v>48</v>
      </c>
      <c r="G710">
        <v>7884</v>
      </c>
      <c r="H710">
        <v>10</v>
      </c>
      <c r="I710">
        <v>5</v>
      </c>
      <c r="J710" t="s">
        <v>13</v>
      </c>
      <c r="K710" s="4">
        <f>Table1[[#This Row],[Sales]]*Table1[[#This Row],[Quantity]]</f>
        <v>78840</v>
      </c>
      <c r="L710" s="4">
        <f>Table1[[#This Row],[Revenue]]-(Table1[[#This Row],[Revenue]]*Table1[[#This Row],[Discount]]/100)</f>
        <v>74898</v>
      </c>
    </row>
    <row r="711" spans="1:12" x14ac:dyDescent="0.55000000000000004">
      <c r="A711" t="s">
        <v>740</v>
      </c>
      <c r="B711" s="2">
        <v>45213</v>
      </c>
      <c r="C711" t="s">
        <v>19</v>
      </c>
      <c r="D711" t="s">
        <v>16</v>
      </c>
      <c r="E711" t="s">
        <v>17</v>
      </c>
      <c r="F711" t="s">
        <v>34</v>
      </c>
      <c r="G711">
        <v>48893</v>
      </c>
      <c r="H711">
        <v>2</v>
      </c>
      <c r="I711">
        <v>29</v>
      </c>
      <c r="J711" t="s">
        <v>13</v>
      </c>
      <c r="K711" s="4">
        <f>Table1[[#This Row],[Sales]]*Table1[[#This Row],[Quantity]]</f>
        <v>97786</v>
      </c>
      <c r="L711" s="4">
        <f>Table1[[#This Row],[Revenue]]-(Table1[[#This Row],[Revenue]]*Table1[[#This Row],[Discount]]/100)</f>
        <v>69428.06</v>
      </c>
    </row>
    <row r="712" spans="1:12" x14ac:dyDescent="0.55000000000000004">
      <c r="A712" t="s">
        <v>741</v>
      </c>
      <c r="B712" s="2">
        <v>45065</v>
      </c>
      <c r="C712" t="s">
        <v>31</v>
      </c>
      <c r="D712" t="s">
        <v>20</v>
      </c>
      <c r="E712" t="s">
        <v>11</v>
      </c>
      <c r="F712" t="s">
        <v>29</v>
      </c>
      <c r="G712">
        <v>3404</v>
      </c>
      <c r="H712">
        <v>4</v>
      </c>
      <c r="I712">
        <v>4</v>
      </c>
      <c r="J712" t="s">
        <v>25</v>
      </c>
      <c r="K712" s="4">
        <f>Table1[[#This Row],[Sales]]*Table1[[#This Row],[Quantity]]</f>
        <v>13616</v>
      </c>
      <c r="L712" s="4">
        <f>Table1[[#This Row],[Revenue]]-(Table1[[#This Row],[Revenue]]*Table1[[#This Row],[Discount]]/100)</f>
        <v>13071.36</v>
      </c>
    </row>
    <row r="713" spans="1:12" x14ac:dyDescent="0.55000000000000004">
      <c r="A713" t="s">
        <v>742</v>
      </c>
      <c r="B713" s="2">
        <v>45175</v>
      </c>
      <c r="C713" t="s">
        <v>19</v>
      </c>
      <c r="D713" t="s">
        <v>37</v>
      </c>
      <c r="E713" t="s">
        <v>11</v>
      </c>
      <c r="F713" t="s">
        <v>12</v>
      </c>
      <c r="G713">
        <v>34804</v>
      </c>
      <c r="H713">
        <v>6</v>
      </c>
      <c r="I713">
        <v>6</v>
      </c>
      <c r="J713" t="s">
        <v>25</v>
      </c>
      <c r="K713" s="4">
        <f>Table1[[#This Row],[Sales]]*Table1[[#This Row],[Quantity]]</f>
        <v>208824</v>
      </c>
      <c r="L713" s="4">
        <f>Table1[[#This Row],[Revenue]]-(Table1[[#This Row],[Revenue]]*Table1[[#This Row],[Discount]]/100)</f>
        <v>196294.56</v>
      </c>
    </row>
    <row r="714" spans="1:12" x14ac:dyDescent="0.55000000000000004">
      <c r="A714" t="s">
        <v>743</v>
      </c>
      <c r="B714" s="2">
        <v>45014</v>
      </c>
      <c r="C714" t="s">
        <v>15</v>
      </c>
      <c r="D714" t="s">
        <v>16</v>
      </c>
      <c r="E714" t="s">
        <v>11</v>
      </c>
      <c r="F714" t="s">
        <v>38</v>
      </c>
      <c r="G714">
        <v>17376</v>
      </c>
      <c r="H714">
        <v>8</v>
      </c>
      <c r="I714">
        <v>24</v>
      </c>
      <c r="J714" t="s">
        <v>22</v>
      </c>
      <c r="K714" s="4">
        <f>Table1[[#This Row],[Sales]]*Table1[[#This Row],[Quantity]]</f>
        <v>139008</v>
      </c>
      <c r="L714" s="4">
        <f>Table1[[#This Row],[Revenue]]-(Table1[[#This Row],[Revenue]]*Table1[[#This Row],[Discount]]/100)</f>
        <v>105646.08</v>
      </c>
    </row>
    <row r="715" spans="1:12" x14ac:dyDescent="0.55000000000000004">
      <c r="A715" t="s">
        <v>744</v>
      </c>
      <c r="B715" s="2">
        <v>44952</v>
      </c>
      <c r="C715" t="s">
        <v>19</v>
      </c>
      <c r="D715" t="s">
        <v>20</v>
      </c>
      <c r="E715" t="s">
        <v>11</v>
      </c>
      <c r="F715" t="s">
        <v>48</v>
      </c>
      <c r="G715">
        <v>38411</v>
      </c>
      <c r="H715">
        <v>6</v>
      </c>
      <c r="I715">
        <v>11</v>
      </c>
      <c r="J715" t="s">
        <v>13</v>
      </c>
      <c r="K715" s="4">
        <f>Table1[[#This Row],[Sales]]*Table1[[#This Row],[Quantity]]</f>
        <v>230466</v>
      </c>
      <c r="L715" s="4">
        <f>Table1[[#This Row],[Revenue]]-(Table1[[#This Row],[Revenue]]*Table1[[#This Row],[Discount]]/100)</f>
        <v>205114.74</v>
      </c>
    </row>
    <row r="716" spans="1:12" x14ac:dyDescent="0.55000000000000004">
      <c r="A716" t="s">
        <v>745</v>
      </c>
      <c r="B716" s="2">
        <v>45105</v>
      </c>
      <c r="C716" t="s">
        <v>15</v>
      </c>
      <c r="D716" t="s">
        <v>46</v>
      </c>
      <c r="E716" t="s">
        <v>11</v>
      </c>
      <c r="F716" t="s">
        <v>48</v>
      </c>
      <c r="G716">
        <v>35531</v>
      </c>
      <c r="H716">
        <v>9</v>
      </c>
      <c r="I716">
        <v>0</v>
      </c>
      <c r="J716" t="s">
        <v>22</v>
      </c>
      <c r="K716" s="4">
        <f>Table1[[#This Row],[Sales]]*Table1[[#This Row],[Quantity]]</f>
        <v>319779</v>
      </c>
      <c r="L716" s="4">
        <f>Table1[[#This Row],[Revenue]]-(Table1[[#This Row],[Revenue]]*Table1[[#This Row],[Discount]]/100)</f>
        <v>319779</v>
      </c>
    </row>
    <row r="717" spans="1:12" x14ac:dyDescent="0.55000000000000004">
      <c r="A717" t="s">
        <v>746</v>
      </c>
      <c r="B717" s="2">
        <v>45040</v>
      </c>
      <c r="C717" t="s">
        <v>24</v>
      </c>
      <c r="D717" t="s">
        <v>46</v>
      </c>
      <c r="E717" t="s">
        <v>11</v>
      </c>
      <c r="F717" t="s">
        <v>48</v>
      </c>
      <c r="G717">
        <v>9916</v>
      </c>
      <c r="H717">
        <v>6</v>
      </c>
      <c r="I717">
        <v>5</v>
      </c>
      <c r="J717" t="s">
        <v>13</v>
      </c>
      <c r="K717" s="4">
        <f>Table1[[#This Row],[Sales]]*Table1[[#This Row],[Quantity]]</f>
        <v>59496</v>
      </c>
      <c r="L717" s="4">
        <f>Table1[[#This Row],[Revenue]]-(Table1[[#This Row],[Revenue]]*Table1[[#This Row],[Discount]]/100)</f>
        <v>56521.2</v>
      </c>
    </row>
    <row r="718" spans="1:12" x14ac:dyDescent="0.55000000000000004">
      <c r="A718" t="s">
        <v>747</v>
      </c>
      <c r="B718" s="2">
        <v>45241</v>
      </c>
      <c r="C718" t="s">
        <v>15</v>
      </c>
      <c r="D718" t="s">
        <v>46</v>
      </c>
      <c r="E718" t="s">
        <v>11</v>
      </c>
      <c r="F718" t="s">
        <v>29</v>
      </c>
      <c r="G718">
        <v>45175</v>
      </c>
      <c r="H718">
        <v>7</v>
      </c>
      <c r="I718">
        <v>7</v>
      </c>
      <c r="J718" t="s">
        <v>22</v>
      </c>
      <c r="K718" s="4">
        <f>Table1[[#This Row],[Sales]]*Table1[[#This Row],[Quantity]]</f>
        <v>316225</v>
      </c>
      <c r="L718" s="4">
        <f>Table1[[#This Row],[Revenue]]-(Table1[[#This Row],[Revenue]]*Table1[[#This Row],[Discount]]/100)</f>
        <v>294089.25</v>
      </c>
    </row>
    <row r="719" spans="1:12" x14ac:dyDescent="0.55000000000000004">
      <c r="A719" t="s">
        <v>748</v>
      </c>
      <c r="B719" s="2">
        <v>45248</v>
      </c>
      <c r="C719" t="s">
        <v>15</v>
      </c>
      <c r="D719" t="s">
        <v>20</v>
      </c>
      <c r="E719" t="s">
        <v>17</v>
      </c>
      <c r="F719" t="s">
        <v>34</v>
      </c>
      <c r="G719">
        <v>38833</v>
      </c>
      <c r="H719">
        <v>6</v>
      </c>
      <c r="I719">
        <v>30</v>
      </c>
      <c r="J719" t="s">
        <v>13</v>
      </c>
      <c r="K719" s="4">
        <f>Table1[[#This Row],[Sales]]*Table1[[#This Row],[Quantity]]</f>
        <v>232998</v>
      </c>
      <c r="L719" s="4">
        <f>Table1[[#This Row],[Revenue]]-(Table1[[#This Row],[Revenue]]*Table1[[#This Row],[Discount]]/100)</f>
        <v>163098.6</v>
      </c>
    </row>
    <row r="720" spans="1:12" x14ac:dyDescent="0.55000000000000004">
      <c r="A720" t="s">
        <v>749</v>
      </c>
      <c r="B720" s="2">
        <v>45065</v>
      </c>
      <c r="C720" t="s">
        <v>24</v>
      </c>
      <c r="D720" t="s">
        <v>37</v>
      </c>
      <c r="E720" t="s">
        <v>17</v>
      </c>
      <c r="F720" t="s">
        <v>38</v>
      </c>
      <c r="G720">
        <v>17537</v>
      </c>
      <c r="H720">
        <v>8</v>
      </c>
      <c r="I720">
        <v>0</v>
      </c>
      <c r="J720" t="s">
        <v>13</v>
      </c>
      <c r="K720" s="4">
        <f>Table1[[#This Row],[Sales]]*Table1[[#This Row],[Quantity]]</f>
        <v>140296</v>
      </c>
      <c r="L720" s="4">
        <f>Table1[[#This Row],[Revenue]]-(Table1[[#This Row],[Revenue]]*Table1[[#This Row],[Discount]]/100)</f>
        <v>140296</v>
      </c>
    </row>
    <row r="721" spans="1:12" x14ac:dyDescent="0.55000000000000004">
      <c r="A721" t="s">
        <v>750</v>
      </c>
      <c r="B721" s="2">
        <v>45165</v>
      </c>
      <c r="C721" t="s">
        <v>15</v>
      </c>
      <c r="D721" t="s">
        <v>37</v>
      </c>
      <c r="E721" t="s">
        <v>17</v>
      </c>
      <c r="F721" t="s">
        <v>48</v>
      </c>
      <c r="G721">
        <v>42442</v>
      </c>
      <c r="H721">
        <v>4</v>
      </c>
      <c r="I721">
        <v>17</v>
      </c>
      <c r="J721" t="s">
        <v>22</v>
      </c>
      <c r="K721" s="4">
        <f>Table1[[#This Row],[Sales]]*Table1[[#This Row],[Quantity]]</f>
        <v>169768</v>
      </c>
      <c r="L721" s="4">
        <f>Table1[[#This Row],[Revenue]]-(Table1[[#This Row],[Revenue]]*Table1[[#This Row],[Discount]]/100)</f>
        <v>140907.44</v>
      </c>
    </row>
    <row r="722" spans="1:12" x14ac:dyDescent="0.55000000000000004">
      <c r="A722" t="s">
        <v>751</v>
      </c>
      <c r="B722" s="2">
        <v>44982</v>
      </c>
      <c r="C722" t="s">
        <v>31</v>
      </c>
      <c r="D722" t="s">
        <v>46</v>
      </c>
      <c r="E722" t="s">
        <v>11</v>
      </c>
      <c r="F722" t="s">
        <v>12</v>
      </c>
      <c r="G722">
        <v>3981</v>
      </c>
      <c r="H722">
        <v>5</v>
      </c>
      <c r="I722">
        <v>20</v>
      </c>
      <c r="J722" t="s">
        <v>25</v>
      </c>
      <c r="K722" s="4">
        <f>Table1[[#This Row],[Sales]]*Table1[[#This Row],[Quantity]]</f>
        <v>19905</v>
      </c>
      <c r="L722" s="4">
        <f>Table1[[#This Row],[Revenue]]-(Table1[[#This Row],[Revenue]]*Table1[[#This Row],[Discount]]/100)</f>
        <v>15924</v>
      </c>
    </row>
    <row r="723" spans="1:12" x14ac:dyDescent="0.55000000000000004">
      <c r="A723" t="s">
        <v>752</v>
      </c>
      <c r="B723" s="2">
        <v>45116</v>
      </c>
      <c r="C723" t="s">
        <v>19</v>
      </c>
      <c r="D723" t="s">
        <v>27</v>
      </c>
      <c r="E723" t="s">
        <v>11</v>
      </c>
      <c r="F723" t="s">
        <v>34</v>
      </c>
      <c r="G723">
        <v>33074</v>
      </c>
      <c r="H723">
        <v>10</v>
      </c>
      <c r="I723">
        <v>27</v>
      </c>
      <c r="J723" t="s">
        <v>13</v>
      </c>
      <c r="K723" s="4">
        <f>Table1[[#This Row],[Sales]]*Table1[[#This Row],[Quantity]]</f>
        <v>330740</v>
      </c>
      <c r="L723" s="4">
        <f>Table1[[#This Row],[Revenue]]-(Table1[[#This Row],[Revenue]]*Table1[[#This Row],[Discount]]/100)</f>
        <v>241440.2</v>
      </c>
    </row>
    <row r="724" spans="1:12" x14ac:dyDescent="0.55000000000000004">
      <c r="A724" t="s">
        <v>753</v>
      </c>
      <c r="B724" s="2">
        <v>45271</v>
      </c>
      <c r="C724" t="s">
        <v>15</v>
      </c>
      <c r="D724" t="s">
        <v>46</v>
      </c>
      <c r="E724" t="s">
        <v>11</v>
      </c>
      <c r="F724" t="s">
        <v>34</v>
      </c>
      <c r="G724">
        <v>18265</v>
      </c>
      <c r="H724">
        <v>4</v>
      </c>
      <c r="I724">
        <v>24</v>
      </c>
      <c r="J724" t="s">
        <v>13</v>
      </c>
      <c r="K724" s="4">
        <f>Table1[[#This Row],[Sales]]*Table1[[#This Row],[Quantity]]</f>
        <v>73060</v>
      </c>
      <c r="L724" s="4">
        <f>Table1[[#This Row],[Revenue]]-(Table1[[#This Row],[Revenue]]*Table1[[#This Row],[Discount]]/100)</f>
        <v>55525.599999999999</v>
      </c>
    </row>
    <row r="725" spans="1:12" x14ac:dyDescent="0.55000000000000004">
      <c r="A725" t="s">
        <v>754</v>
      </c>
      <c r="B725" s="2">
        <v>44948</v>
      </c>
      <c r="C725" t="s">
        <v>19</v>
      </c>
      <c r="D725" t="s">
        <v>37</v>
      </c>
      <c r="E725" t="s">
        <v>17</v>
      </c>
      <c r="F725" t="s">
        <v>48</v>
      </c>
      <c r="G725">
        <v>32807</v>
      </c>
      <c r="H725">
        <v>6</v>
      </c>
      <c r="I725">
        <v>22</v>
      </c>
      <c r="J725" t="s">
        <v>25</v>
      </c>
      <c r="K725" s="4">
        <f>Table1[[#This Row],[Sales]]*Table1[[#This Row],[Quantity]]</f>
        <v>196842</v>
      </c>
      <c r="L725" s="4">
        <f>Table1[[#This Row],[Revenue]]-(Table1[[#This Row],[Revenue]]*Table1[[#This Row],[Discount]]/100)</f>
        <v>153536.76</v>
      </c>
    </row>
    <row r="726" spans="1:12" x14ac:dyDescent="0.55000000000000004">
      <c r="A726" t="s">
        <v>755</v>
      </c>
      <c r="B726" s="2">
        <v>45078</v>
      </c>
      <c r="C726" t="s">
        <v>19</v>
      </c>
      <c r="D726" t="s">
        <v>37</v>
      </c>
      <c r="E726" t="s">
        <v>17</v>
      </c>
      <c r="F726" t="s">
        <v>21</v>
      </c>
      <c r="G726">
        <v>45126</v>
      </c>
      <c r="H726">
        <v>8</v>
      </c>
      <c r="I726">
        <v>28</v>
      </c>
      <c r="J726" t="s">
        <v>25</v>
      </c>
      <c r="K726" s="4">
        <f>Table1[[#This Row],[Sales]]*Table1[[#This Row],[Quantity]]</f>
        <v>361008</v>
      </c>
      <c r="L726" s="4">
        <f>Table1[[#This Row],[Revenue]]-(Table1[[#This Row],[Revenue]]*Table1[[#This Row],[Discount]]/100)</f>
        <v>259925.76000000001</v>
      </c>
    </row>
    <row r="727" spans="1:12" x14ac:dyDescent="0.55000000000000004">
      <c r="A727" t="s">
        <v>756</v>
      </c>
      <c r="B727" s="2">
        <v>45268</v>
      </c>
      <c r="C727" t="s">
        <v>15</v>
      </c>
      <c r="D727" t="s">
        <v>46</v>
      </c>
      <c r="E727" t="s">
        <v>11</v>
      </c>
      <c r="F727" t="s">
        <v>34</v>
      </c>
      <c r="G727">
        <v>18847</v>
      </c>
      <c r="H727">
        <v>4</v>
      </c>
      <c r="I727">
        <v>3</v>
      </c>
      <c r="J727" t="s">
        <v>13</v>
      </c>
      <c r="K727" s="4">
        <f>Table1[[#This Row],[Sales]]*Table1[[#This Row],[Quantity]]</f>
        <v>75388</v>
      </c>
      <c r="L727" s="4">
        <f>Table1[[#This Row],[Revenue]]-(Table1[[#This Row],[Revenue]]*Table1[[#This Row],[Discount]]/100)</f>
        <v>73126.36</v>
      </c>
    </row>
    <row r="728" spans="1:12" x14ac:dyDescent="0.55000000000000004">
      <c r="A728" t="s">
        <v>757</v>
      </c>
      <c r="B728" s="2">
        <v>45012</v>
      </c>
      <c r="C728" t="s">
        <v>31</v>
      </c>
      <c r="D728" t="s">
        <v>16</v>
      </c>
      <c r="E728" t="s">
        <v>17</v>
      </c>
      <c r="F728" t="s">
        <v>21</v>
      </c>
      <c r="G728">
        <v>37150</v>
      </c>
      <c r="H728">
        <v>4</v>
      </c>
      <c r="I728">
        <v>17</v>
      </c>
      <c r="J728" t="s">
        <v>22</v>
      </c>
      <c r="K728" s="4">
        <f>Table1[[#This Row],[Sales]]*Table1[[#This Row],[Quantity]]</f>
        <v>148600</v>
      </c>
      <c r="L728" s="4">
        <f>Table1[[#This Row],[Revenue]]-(Table1[[#This Row],[Revenue]]*Table1[[#This Row],[Discount]]/100)</f>
        <v>123338</v>
      </c>
    </row>
    <row r="729" spans="1:12" x14ac:dyDescent="0.55000000000000004">
      <c r="A729" t="s">
        <v>758</v>
      </c>
      <c r="B729" s="2">
        <v>45206</v>
      </c>
      <c r="C729" t="s">
        <v>31</v>
      </c>
      <c r="D729" t="s">
        <v>46</v>
      </c>
      <c r="E729" t="s">
        <v>17</v>
      </c>
      <c r="F729" t="s">
        <v>34</v>
      </c>
      <c r="G729">
        <v>15836</v>
      </c>
      <c r="H729">
        <v>1</v>
      </c>
      <c r="I729">
        <v>2</v>
      </c>
      <c r="J729" t="s">
        <v>25</v>
      </c>
      <c r="K729" s="4">
        <f>Table1[[#This Row],[Sales]]*Table1[[#This Row],[Quantity]]</f>
        <v>15836</v>
      </c>
      <c r="L729" s="4">
        <f>Table1[[#This Row],[Revenue]]-(Table1[[#This Row],[Revenue]]*Table1[[#This Row],[Discount]]/100)</f>
        <v>15519.28</v>
      </c>
    </row>
    <row r="730" spans="1:12" x14ac:dyDescent="0.55000000000000004">
      <c r="A730" t="s">
        <v>759</v>
      </c>
      <c r="B730" s="2">
        <v>45159</v>
      </c>
      <c r="C730" t="s">
        <v>15</v>
      </c>
      <c r="D730" t="s">
        <v>37</v>
      </c>
      <c r="E730" t="s">
        <v>17</v>
      </c>
      <c r="F730" t="s">
        <v>12</v>
      </c>
      <c r="G730">
        <v>46494</v>
      </c>
      <c r="H730">
        <v>10</v>
      </c>
      <c r="I730">
        <v>26</v>
      </c>
      <c r="J730" t="s">
        <v>22</v>
      </c>
      <c r="K730" s="4">
        <f>Table1[[#This Row],[Sales]]*Table1[[#This Row],[Quantity]]</f>
        <v>464940</v>
      </c>
      <c r="L730" s="4">
        <f>Table1[[#This Row],[Revenue]]-(Table1[[#This Row],[Revenue]]*Table1[[#This Row],[Discount]]/100)</f>
        <v>344055.6</v>
      </c>
    </row>
    <row r="731" spans="1:12" x14ac:dyDescent="0.55000000000000004">
      <c r="A731" t="s">
        <v>760</v>
      </c>
      <c r="B731" s="2">
        <v>45195</v>
      </c>
      <c r="C731" t="s">
        <v>24</v>
      </c>
      <c r="D731" t="s">
        <v>16</v>
      </c>
      <c r="E731" t="s">
        <v>11</v>
      </c>
      <c r="F731" t="s">
        <v>21</v>
      </c>
      <c r="G731">
        <v>14257</v>
      </c>
      <c r="H731">
        <v>10</v>
      </c>
      <c r="I731">
        <v>21</v>
      </c>
      <c r="J731" t="s">
        <v>22</v>
      </c>
      <c r="K731" s="4">
        <f>Table1[[#This Row],[Sales]]*Table1[[#This Row],[Quantity]]</f>
        <v>142570</v>
      </c>
      <c r="L731" s="4">
        <f>Table1[[#This Row],[Revenue]]-(Table1[[#This Row],[Revenue]]*Table1[[#This Row],[Discount]]/100)</f>
        <v>112630.3</v>
      </c>
    </row>
    <row r="732" spans="1:12" x14ac:dyDescent="0.55000000000000004">
      <c r="A732" t="s">
        <v>761</v>
      </c>
      <c r="B732" s="2">
        <v>45010</v>
      </c>
      <c r="C732" t="s">
        <v>15</v>
      </c>
      <c r="D732" t="s">
        <v>27</v>
      </c>
      <c r="E732" t="s">
        <v>11</v>
      </c>
      <c r="F732" t="s">
        <v>21</v>
      </c>
      <c r="G732">
        <v>32483</v>
      </c>
      <c r="H732">
        <v>7</v>
      </c>
      <c r="I732">
        <v>2</v>
      </c>
      <c r="J732" t="s">
        <v>25</v>
      </c>
      <c r="K732" s="4">
        <f>Table1[[#This Row],[Sales]]*Table1[[#This Row],[Quantity]]</f>
        <v>227381</v>
      </c>
      <c r="L732" s="4">
        <f>Table1[[#This Row],[Revenue]]-(Table1[[#This Row],[Revenue]]*Table1[[#This Row],[Discount]]/100)</f>
        <v>222833.38</v>
      </c>
    </row>
    <row r="733" spans="1:12" x14ac:dyDescent="0.55000000000000004">
      <c r="A733" t="s">
        <v>762</v>
      </c>
      <c r="B733" s="2">
        <v>45220</v>
      </c>
      <c r="C733" t="s">
        <v>19</v>
      </c>
      <c r="D733" t="s">
        <v>16</v>
      </c>
      <c r="E733" t="s">
        <v>17</v>
      </c>
      <c r="F733" t="s">
        <v>48</v>
      </c>
      <c r="G733">
        <v>8409</v>
      </c>
      <c r="H733">
        <v>8</v>
      </c>
      <c r="I733">
        <v>13</v>
      </c>
      <c r="J733" t="s">
        <v>22</v>
      </c>
      <c r="K733" s="4">
        <f>Table1[[#This Row],[Sales]]*Table1[[#This Row],[Quantity]]</f>
        <v>67272</v>
      </c>
      <c r="L733" s="4">
        <f>Table1[[#This Row],[Revenue]]-(Table1[[#This Row],[Revenue]]*Table1[[#This Row],[Discount]]/100)</f>
        <v>58526.64</v>
      </c>
    </row>
    <row r="734" spans="1:12" x14ac:dyDescent="0.55000000000000004">
      <c r="A734" t="s">
        <v>763</v>
      </c>
      <c r="B734" s="2">
        <v>45103</v>
      </c>
      <c r="C734" t="s">
        <v>15</v>
      </c>
      <c r="D734" t="s">
        <v>16</v>
      </c>
      <c r="E734" t="s">
        <v>11</v>
      </c>
      <c r="F734" t="s">
        <v>21</v>
      </c>
      <c r="G734">
        <v>10269</v>
      </c>
      <c r="H734">
        <v>10</v>
      </c>
      <c r="I734">
        <v>15</v>
      </c>
      <c r="J734" t="s">
        <v>13</v>
      </c>
      <c r="K734" s="4">
        <f>Table1[[#This Row],[Sales]]*Table1[[#This Row],[Quantity]]</f>
        <v>102690</v>
      </c>
      <c r="L734" s="4">
        <f>Table1[[#This Row],[Revenue]]-(Table1[[#This Row],[Revenue]]*Table1[[#This Row],[Discount]]/100)</f>
        <v>87286.5</v>
      </c>
    </row>
    <row r="735" spans="1:12" x14ac:dyDescent="0.55000000000000004">
      <c r="A735" t="s">
        <v>764</v>
      </c>
      <c r="B735" s="2">
        <v>44931</v>
      </c>
      <c r="C735" t="s">
        <v>19</v>
      </c>
      <c r="D735" t="s">
        <v>16</v>
      </c>
      <c r="E735" t="s">
        <v>11</v>
      </c>
      <c r="F735" t="s">
        <v>44</v>
      </c>
      <c r="G735">
        <v>18973</v>
      </c>
      <c r="H735">
        <v>9</v>
      </c>
      <c r="I735">
        <v>2</v>
      </c>
      <c r="J735" t="s">
        <v>25</v>
      </c>
      <c r="K735" s="4">
        <f>Table1[[#This Row],[Sales]]*Table1[[#This Row],[Quantity]]</f>
        <v>170757</v>
      </c>
      <c r="L735" s="4">
        <f>Table1[[#This Row],[Revenue]]-(Table1[[#This Row],[Revenue]]*Table1[[#This Row],[Discount]]/100)</f>
        <v>167341.85999999999</v>
      </c>
    </row>
    <row r="736" spans="1:12" x14ac:dyDescent="0.55000000000000004">
      <c r="A736" t="s">
        <v>765</v>
      </c>
      <c r="B736" s="2">
        <v>45267</v>
      </c>
      <c r="C736" t="s">
        <v>31</v>
      </c>
      <c r="D736" t="s">
        <v>20</v>
      </c>
      <c r="E736" t="s">
        <v>17</v>
      </c>
      <c r="F736" t="s">
        <v>48</v>
      </c>
      <c r="G736">
        <v>20448</v>
      </c>
      <c r="H736">
        <v>8</v>
      </c>
      <c r="I736">
        <v>0</v>
      </c>
      <c r="J736" t="s">
        <v>22</v>
      </c>
      <c r="K736" s="4">
        <f>Table1[[#This Row],[Sales]]*Table1[[#This Row],[Quantity]]</f>
        <v>163584</v>
      </c>
      <c r="L736" s="4">
        <f>Table1[[#This Row],[Revenue]]-(Table1[[#This Row],[Revenue]]*Table1[[#This Row],[Discount]]/100)</f>
        <v>163584</v>
      </c>
    </row>
    <row r="737" spans="1:12" x14ac:dyDescent="0.55000000000000004">
      <c r="A737" t="s">
        <v>766</v>
      </c>
      <c r="B737" s="2">
        <v>45210</v>
      </c>
      <c r="C737" t="s">
        <v>24</v>
      </c>
      <c r="D737" t="s">
        <v>37</v>
      </c>
      <c r="E737" t="s">
        <v>11</v>
      </c>
      <c r="F737" t="s">
        <v>38</v>
      </c>
      <c r="G737">
        <v>33125</v>
      </c>
      <c r="H737">
        <v>2</v>
      </c>
      <c r="I737">
        <v>26</v>
      </c>
      <c r="J737" t="s">
        <v>13</v>
      </c>
      <c r="K737" s="4">
        <f>Table1[[#This Row],[Sales]]*Table1[[#This Row],[Quantity]]</f>
        <v>66250</v>
      </c>
      <c r="L737" s="4">
        <f>Table1[[#This Row],[Revenue]]-(Table1[[#This Row],[Revenue]]*Table1[[#This Row],[Discount]]/100)</f>
        <v>49025</v>
      </c>
    </row>
    <row r="738" spans="1:12" x14ac:dyDescent="0.55000000000000004">
      <c r="A738" t="s">
        <v>767</v>
      </c>
      <c r="B738" s="2">
        <v>45194</v>
      </c>
      <c r="C738" t="s">
        <v>19</v>
      </c>
      <c r="D738" t="s">
        <v>46</v>
      </c>
      <c r="E738" t="s">
        <v>11</v>
      </c>
      <c r="F738" t="s">
        <v>48</v>
      </c>
      <c r="G738">
        <v>49478</v>
      </c>
      <c r="H738">
        <v>9</v>
      </c>
      <c r="I738">
        <v>29</v>
      </c>
      <c r="J738" t="s">
        <v>13</v>
      </c>
      <c r="K738" s="4">
        <f>Table1[[#This Row],[Sales]]*Table1[[#This Row],[Quantity]]</f>
        <v>445302</v>
      </c>
      <c r="L738" s="4">
        <f>Table1[[#This Row],[Revenue]]-(Table1[[#This Row],[Revenue]]*Table1[[#This Row],[Discount]]/100)</f>
        <v>316164.42</v>
      </c>
    </row>
    <row r="739" spans="1:12" x14ac:dyDescent="0.55000000000000004">
      <c r="A739" t="s">
        <v>768</v>
      </c>
      <c r="B739" s="2">
        <v>45116</v>
      </c>
      <c r="C739" t="s">
        <v>15</v>
      </c>
      <c r="D739" t="s">
        <v>16</v>
      </c>
      <c r="E739" t="s">
        <v>11</v>
      </c>
      <c r="F739" t="s">
        <v>48</v>
      </c>
      <c r="G739">
        <v>6229</v>
      </c>
      <c r="H739">
        <v>1</v>
      </c>
      <c r="I739">
        <v>14</v>
      </c>
      <c r="J739" t="s">
        <v>13</v>
      </c>
      <c r="K739" s="4">
        <f>Table1[[#This Row],[Sales]]*Table1[[#This Row],[Quantity]]</f>
        <v>6229</v>
      </c>
      <c r="L739" s="4">
        <f>Table1[[#This Row],[Revenue]]-(Table1[[#This Row],[Revenue]]*Table1[[#This Row],[Discount]]/100)</f>
        <v>5356.9400000000005</v>
      </c>
    </row>
    <row r="740" spans="1:12" x14ac:dyDescent="0.55000000000000004">
      <c r="A740" t="s">
        <v>769</v>
      </c>
      <c r="B740" s="2">
        <v>45157</v>
      </c>
      <c r="C740" t="s">
        <v>15</v>
      </c>
      <c r="D740" t="s">
        <v>37</v>
      </c>
      <c r="E740" t="s">
        <v>17</v>
      </c>
      <c r="F740" t="s">
        <v>29</v>
      </c>
      <c r="G740">
        <v>43137</v>
      </c>
      <c r="H740">
        <v>10</v>
      </c>
      <c r="I740">
        <v>10</v>
      </c>
      <c r="J740" t="s">
        <v>25</v>
      </c>
      <c r="K740" s="4">
        <f>Table1[[#This Row],[Sales]]*Table1[[#This Row],[Quantity]]</f>
        <v>431370</v>
      </c>
      <c r="L740" s="4">
        <f>Table1[[#This Row],[Revenue]]-(Table1[[#This Row],[Revenue]]*Table1[[#This Row],[Discount]]/100)</f>
        <v>388233</v>
      </c>
    </row>
    <row r="741" spans="1:12" x14ac:dyDescent="0.55000000000000004">
      <c r="A741" t="s">
        <v>770</v>
      </c>
      <c r="B741" s="2">
        <v>44993</v>
      </c>
      <c r="C741" t="s">
        <v>31</v>
      </c>
      <c r="D741" t="s">
        <v>46</v>
      </c>
      <c r="E741" t="s">
        <v>11</v>
      </c>
      <c r="F741" t="s">
        <v>38</v>
      </c>
      <c r="G741">
        <v>21740</v>
      </c>
      <c r="H741">
        <v>3</v>
      </c>
      <c r="I741">
        <v>6</v>
      </c>
      <c r="J741" t="s">
        <v>22</v>
      </c>
      <c r="K741" s="4">
        <f>Table1[[#This Row],[Sales]]*Table1[[#This Row],[Quantity]]</f>
        <v>65220</v>
      </c>
      <c r="L741" s="4">
        <f>Table1[[#This Row],[Revenue]]-(Table1[[#This Row],[Revenue]]*Table1[[#This Row],[Discount]]/100)</f>
        <v>61306.8</v>
      </c>
    </row>
    <row r="742" spans="1:12" x14ac:dyDescent="0.55000000000000004">
      <c r="A742" t="s">
        <v>771</v>
      </c>
      <c r="B742" s="2">
        <v>45017</v>
      </c>
      <c r="C742" t="s">
        <v>19</v>
      </c>
      <c r="D742" t="s">
        <v>20</v>
      </c>
      <c r="E742" t="s">
        <v>11</v>
      </c>
      <c r="F742" t="s">
        <v>21</v>
      </c>
      <c r="G742">
        <v>8337</v>
      </c>
      <c r="H742">
        <v>8</v>
      </c>
      <c r="I742">
        <v>4</v>
      </c>
      <c r="J742" t="s">
        <v>13</v>
      </c>
      <c r="K742" s="4">
        <f>Table1[[#This Row],[Sales]]*Table1[[#This Row],[Quantity]]</f>
        <v>66696</v>
      </c>
      <c r="L742" s="4">
        <f>Table1[[#This Row],[Revenue]]-(Table1[[#This Row],[Revenue]]*Table1[[#This Row],[Discount]]/100)</f>
        <v>64028.160000000003</v>
      </c>
    </row>
    <row r="743" spans="1:12" x14ac:dyDescent="0.55000000000000004">
      <c r="A743" t="s">
        <v>772</v>
      </c>
      <c r="B743" s="2">
        <v>45041</v>
      </c>
      <c r="C743" t="s">
        <v>31</v>
      </c>
      <c r="D743" t="s">
        <v>20</v>
      </c>
      <c r="E743" t="s">
        <v>11</v>
      </c>
      <c r="F743" t="s">
        <v>38</v>
      </c>
      <c r="G743">
        <v>14850</v>
      </c>
      <c r="H743">
        <v>4</v>
      </c>
      <c r="I743">
        <v>21</v>
      </c>
      <c r="J743" t="s">
        <v>25</v>
      </c>
      <c r="K743" s="4">
        <f>Table1[[#This Row],[Sales]]*Table1[[#This Row],[Quantity]]</f>
        <v>59400</v>
      </c>
      <c r="L743" s="4">
        <f>Table1[[#This Row],[Revenue]]-(Table1[[#This Row],[Revenue]]*Table1[[#This Row],[Discount]]/100)</f>
        <v>46926</v>
      </c>
    </row>
    <row r="744" spans="1:12" x14ac:dyDescent="0.55000000000000004">
      <c r="A744" t="s">
        <v>773</v>
      </c>
      <c r="B744" s="2">
        <v>45156</v>
      </c>
      <c r="C744" t="s">
        <v>31</v>
      </c>
      <c r="D744" t="s">
        <v>20</v>
      </c>
      <c r="E744" t="s">
        <v>17</v>
      </c>
      <c r="F744" t="s">
        <v>38</v>
      </c>
      <c r="G744">
        <v>33460</v>
      </c>
      <c r="H744">
        <v>9</v>
      </c>
      <c r="I744">
        <v>3</v>
      </c>
      <c r="J744" t="s">
        <v>25</v>
      </c>
      <c r="K744" s="4">
        <f>Table1[[#This Row],[Sales]]*Table1[[#This Row],[Quantity]]</f>
        <v>301140</v>
      </c>
      <c r="L744" s="4">
        <f>Table1[[#This Row],[Revenue]]-(Table1[[#This Row],[Revenue]]*Table1[[#This Row],[Discount]]/100)</f>
        <v>292105.8</v>
      </c>
    </row>
    <row r="745" spans="1:12" x14ac:dyDescent="0.55000000000000004">
      <c r="A745" t="s">
        <v>774</v>
      </c>
      <c r="B745" s="2">
        <v>45287</v>
      </c>
      <c r="C745" t="s">
        <v>15</v>
      </c>
      <c r="D745" t="s">
        <v>37</v>
      </c>
      <c r="E745" t="s">
        <v>17</v>
      </c>
      <c r="F745" t="s">
        <v>44</v>
      </c>
      <c r="G745">
        <v>14203</v>
      </c>
      <c r="H745">
        <v>7</v>
      </c>
      <c r="I745">
        <v>0</v>
      </c>
      <c r="J745" t="s">
        <v>22</v>
      </c>
      <c r="K745" s="4">
        <f>Table1[[#This Row],[Sales]]*Table1[[#This Row],[Quantity]]</f>
        <v>99421</v>
      </c>
      <c r="L745" s="4">
        <f>Table1[[#This Row],[Revenue]]-(Table1[[#This Row],[Revenue]]*Table1[[#This Row],[Discount]]/100)</f>
        <v>99421</v>
      </c>
    </row>
    <row r="746" spans="1:12" x14ac:dyDescent="0.55000000000000004">
      <c r="A746" t="s">
        <v>775</v>
      </c>
      <c r="B746" s="2">
        <v>44952</v>
      </c>
      <c r="C746" t="s">
        <v>24</v>
      </c>
      <c r="D746" t="s">
        <v>20</v>
      </c>
      <c r="E746" t="s">
        <v>17</v>
      </c>
      <c r="F746" t="s">
        <v>38</v>
      </c>
      <c r="G746">
        <v>1606</v>
      </c>
      <c r="H746">
        <v>5</v>
      </c>
      <c r="I746">
        <v>2</v>
      </c>
      <c r="J746" t="s">
        <v>13</v>
      </c>
      <c r="K746" s="4">
        <f>Table1[[#This Row],[Sales]]*Table1[[#This Row],[Quantity]]</f>
        <v>8030</v>
      </c>
      <c r="L746" s="4">
        <f>Table1[[#This Row],[Revenue]]-(Table1[[#This Row],[Revenue]]*Table1[[#This Row],[Discount]]/100)</f>
        <v>7869.4</v>
      </c>
    </row>
    <row r="747" spans="1:12" x14ac:dyDescent="0.55000000000000004">
      <c r="A747" t="s">
        <v>776</v>
      </c>
      <c r="B747" s="2">
        <v>45104</v>
      </c>
      <c r="C747" t="s">
        <v>15</v>
      </c>
      <c r="D747" t="s">
        <v>27</v>
      </c>
      <c r="E747" t="s">
        <v>17</v>
      </c>
      <c r="F747" t="s">
        <v>12</v>
      </c>
      <c r="G747">
        <v>21479</v>
      </c>
      <c r="H747">
        <v>10</v>
      </c>
      <c r="I747">
        <v>11</v>
      </c>
      <c r="J747" t="s">
        <v>25</v>
      </c>
      <c r="K747" s="4">
        <f>Table1[[#This Row],[Sales]]*Table1[[#This Row],[Quantity]]</f>
        <v>214790</v>
      </c>
      <c r="L747" s="4">
        <f>Table1[[#This Row],[Revenue]]-(Table1[[#This Row],[Revenue]]*Table1[[#This Row],[Discount]]/100)</f>
        <v>191163.1</v>
      </c>
    </row>
    <row r="748" spans="1:12" x14ac:dyDescent="0.55000000000000004">
      <c r="A748" t="s">
        <v>777</v>
      </c>
      <c r="B748" s="2">
        <v>45259</v>
      </c>
      <c r="C748" t="s">
        <v>31</v>
      </c>
      <c r="D748" t="s">
        <v>16</v>
      </c>
      <c r="E748" t="s">
        <v>11</v>
      </c>
      <c r="F748" t="s">
        <v>34</v>
      </c>
      <c r="G748">
        <v>15915</v>
      </c>
      <c r="H748">
        <v>6</v>
      </c>
      <c r="I748">
        <v>26</v>
      </c>
      <c r="J748" t="s">
        <v>25</v>
      </c>
      <c r="K748" s="4">
        <f>Table1[[#This Row],[Sales]]*Table1[[#This Row],[Quantity]]</f>
        <v>95490</v>
      </c>
      <c r="L748" s="4">
        <f>Table1[[#This Row],[Revenue]]-(Table1[[#This Row],[Revenue]]*Table1[[#This Row],[Discount]]/100)</f>
        <v>70662.600000000006</v>
      </c>
    </row>
    <row r="749" spans="1:12" x14ac:dyDescent="0.55000000000000004">
      <c r="A749" t="s">
        <v>778</v>
      </c>
      <c r="B749" s="2">
        <v>44973</v>
      </c>
      <c r="C749" t="s">
        <v>24</v>
      </c>
      <c r="D749" t="s">
        <v>16</v>
      </c>
      <c r="E749" t="s">
        <v>11</v>
      </c>
      <c r="F749" t="s">
        <v>48</v>
      </c>
      <c r="G749">
        <v>17579</v>
      </c>
      <c r="H749">
        <v>6</v>
      </c>
      <c r="I749">
        <v>13</v>
      </c>
      <c r="J749" t="s">
        <v>25</v>
      </c>
      <c r="K749" s="4">
        <f>Table1[[#This Row],[Sales]]*Table1[[#This Row],[Quantity]]</f>
        <v>105474</v>
      </c>
      <c r="L749" s="4">
        <f>Table1[[#This Row],[Revenue]]-(Table1[[#This Row],[Revenue]]*Table1[[#This Row],[Discount]]/100)</f>
        <v>91762.38</v>
      </c>
    </row>
    <row r="750" spans="1:12" x14ac:dyDescent="0.55000000000000004">
      <c r="A750" t="s">
        <v>779</v>
      </c>
      <c r="B750" s="2">
        <v>45074</v>
      </c>
      <c r="C750" t="s">
        <v>15</v>
      </c>
      <c r="D750" t="s">
        <v>37</v>
      </c>
      <c r="E750" t="s">
        <v>11</v>
      </c>
      <c r="F750" t="s">
        <v>12</v>
      </c>
      <c r="G750">
        <v>33190</v>
      </c>
      <c r="H750">
        <v>5</v>
      </c>
      <c r="I750">
        <v>26</v>
      </c>
      <c r="J750" t="s">
        <v>25</v>
      </c>
      <c r="K750" s="4">
        <f>Table1[[#This Row],[Sales]]*Table1[[#This Row],[Quantity]]</f>
        <v>165950</v>
      </c>
      <c r="L750" s="4">
        <f>Table1[[#This Row],[Revenue]]-(Table1[[#This Row],[Revenue]]*Table1[[#This Row],[Discount]]/100)</f>
        <v>122803</v>
      </c>
    </row>
    <row r="751" spans="1:12" x14ac:dyDescent="0.55000000000000004">
      <c r="A751" t="s">
        <v>780</v>
      </c>
      <c r="B751" s="2">
        <v>44968</v>
      </c>
      <c r="C751" t="s">
        <v>19</v>
      </c>
      <c r="D751" t="s">
        <v>20</v>
      </c>
      <c r="E751" t="s">
        <v>17</v>
      </c>
      <c r="F751" t="s">
        <v>38</v>
      </c>
      <c r="G751">
        <v>31072</v>
      </c>
      <c r="H751">
        <v>3</v>
      </c>
      <c r="I751">
        <v>10</v>
      </c>
      <c r="J751" t="s">
        <v>25</v>
      </c>
      <c r="K751" s="4">
        <f>Table1[[#This Row],[Sales]]*Table1[[#This Row],[Quantity]]</f>
        <v>93216</v>
      </c>
      <c r="L751" s="4">
        <f>Table1[[#This Row],[Revenue]]-(Table1[[#This Row],[Revenue]]*Table1[[#This Row],[Discount]]/100)</f>
        <v>83894.399999999994</v>
      </c>
    </row>
    <row r="752" spans="1:12" x14ac:dyDescent="0.55000000000000004">
      <c r="A752" t="s">
        <v>781</v>
      </c>
      <c r="B752" s="2">
        <v>45043</v>
      </c>
      <c r="C752" t="s">
        <v>31</v>
      </c>
      <c r="D752" t="s">
        <v>20</v>
      </c>
      <c r="E752" t="s">
        <v>17</v>
      </c>
      <c r="F752" t="s">
        <v>48</v>
      </c>
      <c r="G752">
        <v>41458</v>
      </c>
      <c r="H752">
        <v>8</v>
      </c>
      <c r="I752">
        <v>22</v>
      </c>
      <c r="J752" t="s">
        <v>13</v>
      </c>
      <c r="K752" s="4">
        <f>Table1[[#This Row],[Sales]]*Table1[[#This Row],[Quantity]]</f>
        <v>331664</v>
      </c>
      <c r="L752" s="4">
        <f>Table1[[#This Row],[Revenue]]-(Table1[[#This Row],[Revenue]]*Table1[[#This Row],[Discount]]/100)</f>
        <v>258697.91999999998</v>
      </c>
    </row>
    <row r="753" spans="1:12" x14ac:dyDescent="0.55000000000000004">
      <c r="A753" t="s">
        <v>782</v>
      </c>
      <c r="B753" s="2">
        <v>45141</v>
      </c>
      <c r="C753" t="s">
        <v>15</v>
      </c>
      <c r="D753" t="s">
        <v>27</v>
      </c>
      <c r="E753" t="s">
        <v>17</v>
      </c>
      <c r="F753" t="s">
        <v>44</v>
      </c>
      <c r="G753">
        <v>39288</v>
      </c>
      <c r="H753">
        <v>9</v>
      </c>
      <c r="I753">
        <v>0</v>
      </c>
      <c r="J753" t="s">
        <v>25</v>
      </c>
      <c r="K753" s="4">
        <f>Table1[[#This Row],[Sales]]*Table1[[#This Row],[Quantity]]</f>
        <v>353592</v>
      </c>
      <c r="L753" s="4">
        <f>Table1[[#This Row],[Revenue]]-(Table1[[#This Row],[Revenue]]*Table1[[#This Row],[Discount]]/100)</f>
        <v>353592</v>
      </c>
    </row>
    <row r="754" spans="1:12" x14ac:dyDescent="0.55000000000000004">
      <c r="A754" t="s">
        <v>783</v>
      </c>
      <c r="B754" s="2">
        <v>45178</v>
      </c>
      <c r="C754" t="s">
        <v>19</v>
      </c>
      <c r="D754" t="s">
        <v>16</v>
      </c>
      <c r="E754" t="s">
        <v>11</v>
      </c>
      <c r="F754" t="s">
        <v>21</v>
      </c>
      <c r="G754">
        <v>265</v>
      </c>
      <c r="H754">
        <v>4</v>
      </c>
      <c r="I754">
        <v>9</v>
      </c>
      <c r="J754" t="s">
        <v>22</v>
      </c>
      <c r="K754" s="4">
        <f>Table1[[#This Row],[Sales]]*Table1[[#This Row],[Quantity]]</f>
        <v>1060</v>
      </c>
      <c r="L754" s="4">
        <f>Table1[[#This Row],[Revenue]]-(Table1[[#This Row],[Revenue]]*Table1[[#This Row],[Discount]]/100)</f>
        <v>964.6</v>
      </c>
    </row>
    <row r="755" spans="1:12" x14ac:dyDescent="0.55000000000000004">
      <c r="A755" t="s">
        <v>784</v>
      </c>
      <c r="B755" s="2">
        <v>45075</v>
      </c>
      <c r="C755" t="s">
        <v>31</v>
      </c>
      <c r="D755" t="s">
        <v>16</v>
      </c>
      <c r="E755" t="s">
        <v>11</v>
      </c>
      <c r="F755" t="s">
        <v>38</v>
      </c>
      <c r="G755">
        <v>31828</v>
      </c>
      <c r="H755">
        <v>6</v>
      </c>
      <c r="I755">
        <v>21</v>
      </c>
      <c r="J755" t="s">
        <v>13</v>
      </c>
      <c r="K755" s="4">
        <f>Table1[[#This Row],[Sales]]*Table1[[#This Row],[Quantity]]</f>
        <v>190968</v>
      </c>
      <c r="L755" s="4">
        <f>Table1[[#This Row],[Revenue]]-(Table1[[#This Row],[Revenue]]*Table1[[#This Row],[Discount]]/100)</f>
        <v>150864.72</v>
      </c>
    </row>
    <row r="756" spans="1:12" x14ac:dyDescent="0.55000000000000004">
      <c r="A756" t="s">
        <v>785</v>
      </c>
      <c r="B756" s="2">
        <v>45249</v>
      </c>
      <c r="C756" t="s">
        <v>24</v>
      </c>
      <c r="D756" t="s">
        <v>27</v>
      </c>
      <c r="E756" t="s">
        <v>17</v>
      </c>
      <c r="F756" t="s">
        <v>38</v>
      </c>
      <c r="G756">
        <v>39359</v>
      </c>
      <c r="H756">
        <v>7</v>
      </c>
      <c r="I756">
        <v>14</v>
      </c>
      <c r="J756" t="s">
        <v>13</v>
      </c>
      <c r="K756" s="4">
        <f>Table1[[#This Row],[Sales]]*Table1[[#This Row],[Quantity]]</f>
        <v>275513</v>
      </c>
      <c r="L756" s="4">
        <f>Table1[[#This Row],[Revenue]]-(Table1[[#This Row],[Revenue]]*Table1[[#This Row],[Discount]]/100)</f>
        <v>236941.18</v>
      </c>
    </row>
    <row r="757" spans="1:12" x14ac:dyDescent="0.55000000000000004">
      <c r="A757" t="s">
        <v>786</v>
      </c>
      <c r="B757" s="2">
        <v>45081</v>
      </c>
      <c r="C757" t="s">
        <v>19</v>
      </c>
      <c r="D757" t="s">
        <v>27</v>
      </c>
      <c r="E757" t="s">
        <v>17</v>
      </c>
      <c r="F757" t="s">
        <v>38</v>
      </c>
      <c r="G757">
        <v>16110</v>
      </c>
      <c r="H757">
        <v>2</v>
      </c>
      <c r="I757">
        <v>23</v>
      </c>
      <c r="J757" t="s">
        <v>13</v>
      </c>
      <c r="K757" s="4">
        <f>Table1[[#This Row],[Sales]]*Table1[[#This Row],[Quantity]]</f>
        <v>32220</v>
      </c>
      <c r="L757" s="4">
        <f>Table1[[#This Row],[Revenue]]-(Table1[[#This Row],[Revenue]]*Table1[[#This Row],[Discount]]/100)</f>
        <v>24809.4</v>
      </c>
    </row>
    <row r="758" spans="1:12" x14ac:dyDescent="0.55000000000000004">
      <c r="A758" t="s">
        <v>787</v>
      </c>
      <c r="B758" s="2">
        <v>45104</v>
      </c>
      <c r="C758" t="s">
        <v>15</v>
      </c>
      <c r="D758" t="s">
        <v>20</v>
      </c>
      <c r="E758" t="s">
        <v>11</v>
      </c>
      <c r="F758" t="s">
        <v>21</v>
      </c>
      <c r="G758">
        <v>40400</v>
      </c>
      <c r="H758">
        <v>2</v>
      </c>
      <c r="I758">
        <v>15</v>
      </c>
      <c r="J758" t="s">
        <v>22</v>
      </c>
      <c r="K758" s="4">
        <f>Table1[[#This Row],[Sales]]*Table1[[#This Row],[Quantity]]</f>
        <v>80800</v>
      </c>
      <c r="L758" s="4">
        <f>Table1[[#This Row],[Revenue]]-(Table1[[#This Row],[Revenue]]*Table1[[#This Row],[Discount]]/100)</f>
        <v>68680</v>
      </c>
    </row>
    <row r="759" spans="1:12" x14ac:dyDescent="0.55000000000000004">
      <c r="A759" t="s">
        <v>788</v>
      </c>
      <c r="B759" s="2">
        <v>45213</v>
      </c>
      <c r="C759" t="s">
        <v>15</v>
      </c>
      <c r="D759" t="s">
        <v>16</v>
      </c>
      <c r="E759" t="s">
        <v>11</v>
      </c>
      <c r="F759" t="s">
        <v>48</v>
      </c>
      <c r="G759">
        <v>2574</v>
      </c>
      <c r="H759">
        <v>5</v>
      </c>
      <c r="I759">
        <v>18</v>
      </c>
      <c r="J759" t="s">
        <v>22</v>
      </c>
      <c r="K759" s="4">
        <f>Table1[[#This Row],[Sales]]*Table1[[#This Row],[Quantity]]</f>
        <v>12870</v>
      </c>
      <c r="L759" s="4">
        <f>Table1[[#This Row],[Revenue]]-(Table1[[#This Row],[Revenue]]*Table1[[#This Row],[Discount]]/100)</f>
        <v>10553.4</v>
      </c>
    </row>
    <row r="760" spans="1:12" x14ac:dyDescent="0.55000000000000004">
      <c r="A760" t="s">
        <v>789</v>
      </c>
      <c r="B760" s="2">
        <v>45277</v>
      </c>
      <c r="C760" t="s">
        <v>31</v>
      </c>
      <c r="D760" t="s">
        <v>16</v>
      </c>
      <c r="E760" t="s">
        <v>17</v>
      </c>
      <c r="F760" t="s">
        <v>34</v>
      </c>
      <c r="G760">
        <v>38159</v>
      </c>
      <c r="H760">
        <v>4</v>
      </c>
      <c r="I760">
        <v>7</v>
      </c>
      <c r="J760" t="s">
        <v>13</v>
      </c>
      <c r="K760" s="4">
        <f>Table1[[#This Row],[Sales]]*Table1[[#This Row],[Quantity]]</f>
        <v>152636</v>
      </c>
      <c r="L760" s="4">
        <f>Table1[[#This Row],[Revenue]]-(Table1[[#This Row],[Revenue]]*Table1[[#This Row],[Discount]]/100)</f>
        <v>141951.48000000001</v>
      </c>
    </row>
    <row r="761" spans="1:12" x14ac:dyDescent="0.55000000000000004">
      <c r="A761" t="s">
        <v>790</v>
      </c>
      <c r="B761" s="2">
        <v>44945</v>
      </c>
      <c r="C761" t="s">
        <v>24</v>
      </c>
      <c r="D761" t="s">
        <v>46</v>
      </c>
      <c r="E761" t="s">
        <v>11</v>
      </c>
      <c r="F761" t="s">
        <v>48</v>
      </c>
      <c r="G761">
        <v>49314</v>
      </c>
      <c r="H761">
        <v>6</v>
      </c>
      <c r="I761">
        <v>28</v>
      </c>
      <c r="J761" t="s">
        <v>22</v>
      </c>
      <c r="K761" s="4">
        <f>Table1[[#This Row],[Sales]]*Table1[[#This Row],[Quantity]]</f>
        <v>295884</v>
      </c>
      <c r="L761" s="4">
        <f>Table1[[#This Row],[Revenue]]-(Table1[[#This Row],[Revenue]]*Table1[[#This Row],[Discount]]/100)</f>
        <v>213036.47999999998</v>
      </c>
    </row>
    <row r="762" spans="1:12" x14ac:dyDescent="0.55000000000000004">
      <c r="A762" t="s">
        <v>791</v>
      </c>
      <c r="B762" s="2">
        <v>44968</v>
      </c>
      <c r="C762" t="s">
        <v>24</v>
      </c>
      <c r="D762" t="s">
        <v>27</v>
      </c>
      <c r="E762" t="s">
        <v>17</v>
      </c>
      <c r="F762" t="s">
        <v>12</v>
      </c>
      <c r="G762">
        <v>16835</v>
      </c>
      <c r="H762">
        <v>4</v>
      </c>
      <c r="I762">
        <v>3</v>
      </c>
      <c r="J762" t="s">
        <v>13</v>
      </c>
      <c r="K762" s="4">
        <f>Table1[[#This Row],[Sales]]*Table1[[#This Row],[Quantity]]</f>
        <v>67340</v>
      </c>
      <c r="L762" s="4">
        <f>Table1[[#This Row],[Revenue]]-(Table1[[#This Row],[Revenue]]*Table1[[#This Row],[Discount]]/100)</f>
        <v>65319.8</v>
      </c>
    </row>
    <row r="763" spans="1:12" x14ac:dyDescent="0.55000000000000004">
      <c r="A763" t="s">
        <v>792</v>
      </c>
      <c r="B763" s="2">
        <v>45193</v>
      </c>
      <c r="C763" t="s">
        <v>19</v>
      </c>
      <c r="D763" t="s">
        <v>27</v>
      </c>
      <c r="E763" t="s">
        <v>17</v>
      </c>
      <c r="F763" t="s">
        <v>34</v>
      </c>
      <c r="G763">
        <v>49139</v>
      </c>
      <c r="H763">
        <v>6</v>
      </c>
      <c r="I763">
        <v>7</v>
      </c>
      <c r="J763" t="s">
        <v>13</v>
      </c>
      <c r="K763" s="4">
        <f>Table1[[#This Row],[Sales]]*Table1[[#This Row],[Quantity]]</f>
        <v>294834</v>
      </c>
      <c r="L763" s="4">
        <f>Table1[[#This Row],[Revenue]]-(Table1[[#This Row],[Revenue]]*Table1[[#This Row],[Discount]]/100)</f>
        <v>274195.62</v>
      </c>
    </row>
    <row r="764" spans="1:12" x14ac:dyDescent="0.55000000000000004">
      <c r="A764" t="s">
        <v>793</v>
      </c>
      <c r="B764" s="2">
        <v>45149</v>
      </c>
      <c r="C764" t="s">
        <v>15</v>
      </c>
      <c r="D764" t="s">
        <v>27</v>
      </c>
      <c r="E764" t="s">
        <v>17</v>
      </c>
      <c r="F764" t="s">
        <v>21</v>
      </c>
      <c r="G764">
        <v>29323</v>
      </c>
      <c r="H764">
        <v>1</v>
      </c>
      <c r="I764">
        <v>27</v>
      </c>
      <c r="J764" t="s">
        <v>22</v>
      </c>
      <c r="K764" s="4">
        <f>Table1[[#This Row],[Sales]]*Table1[[#This Row],[Quantity]]</f>
        <v>29323</v>
      </c>
      <c r="L764" s="4">
        <f>Table1[[#This Row],[Revenue]]-(Table1[[#This Row],[Revenue]]*Table1[[#This Row],[Discount]]/100)</f>
        <v>21405.79</v>
      </c>
    </row>
    <row r="765" spans="1:12" x14ac:dyDescent="0.55000000000000004">
      <c r="A765" t="s">
        <v>794</v>
      </c>
      <c r="B765" s="2">
        <v>45147</v>
      </c>
      <c r="C765" t="s">
        <v>31</v>
      </c>
      <c r="D765" t="s">
        <v>37</v>
      </c>
      <c r="E765" t="s">
        <v>17</v>
      </c>
      <c r="F765" t="s">
        <v>38</v>
      </c>
      <c r="G765">
        <v>39809</v>
      </c>
      <c r="H765">
        <v>9</v>
      </c>
      <c r="I765">
        <v>18</v>
      </c>
      <c r="J765" t="s">
        <v>25</v>
      </c>
      <c r="K765" s="4">
        <f>Table1[[#This Row],[Sales]]*Table1[[#This Row],[Quantity]]</f>
        <v>358281</v>
      </c>
      <c r="L765" s="4">
        <f>Table1[[#This Row],[Revenue]]-(Table1[[#This Row],[Revenue]]*Table1[[#This Row],[Discount]]/100)</f>
        <v>293790.42</v>
      </c>
    </row>
    <row r="766" spans="1:12" x14ac:dyDescent="0.55000000000000004">
      <c r="A766" t="s">
        <v>795</v>
      </c>
      <c r="B766" s="2">
        <v>45083</v>
      </c>
      <c r="C766" t="s">
        <v>15</v>
      </c>
      <c r="D766" t="s">
        <v>37</v>
      </c>
      <c r="E766" t="s">
        <v>17</v>
      </c>
      <c r="F766" t="s">
        <v>12</v>
      </c>
      <c r="G766">
        <v>13618</v>
      </c>
      <c r="H766">
        <v>4</v>
      </c>
      <c r="I766">
        <v>23</v>
      </c>
      <c r="J766" t="s">
        <v>13</v>
      </c>
      <c r="K766" s="4">
        <f>Table1[[#This Row],[Sales]]*Table1[[#This Row],[Quantity]]</f>
        <v>54472</v>
      </c>
      <c r="L766" s="4">
        <f>Table1[[#This Row],[Revenue]]-(Table1[[#This Row],[Revenue]]*Table1[[#This Row],[Discount]]/100)</f>
        <v>41943.44</v>
      </c>
    </row>
    <row r="767" spans="1:12" x14ac:dyDescent="0.55000000000000004">
      <c r="A767" t="s">
        <v>796</v>
      </c>
      <c r="B767" s="2">
        <v>45252</v>
      </c>
      <c r="C767" t="s">
        <v>19</v>
      </c>
      <c r="D767" t="s">
        <v>20</v>
      </c>
      <c r="E767" t="s">
        <v>11</v>
      </c>
      <c r="F767" t="s">
        <v>12</v>
      </c>
      <c r="G767">
        <v>23062</v>
      </c>
      <c r="H767">
        <v>6</v>
      </c>
      <c r="I767">
        <v>26</v>
      </c>
      <c r="J767" t="s">
        <v>13</v>
      </c>
      <c r="K767" s="4">
        <f>Table1[[#This Row],[Sales]]*Table1[[#This Row],[Quantity]]</f>
        <v>138372</v>
      </c>
      <c r="L767" s="4">
        <f>Table1[[#This Row],[Revenue]]-(Table1[[#This Row],[Revenue]]*Table1[[#This Row],[Discount]]/100)</f>
        <v>102395.28</v>
      </c>
    </row>
    <row r="768" spans="1:12" x14ac:dyDescent="0.55000000000000004">
      <c r="A768" t="s">
        <v>797</v>
      </c>
      <c r="B768" s="2">
        <v>45275</v>
      </c>
      <c r="C768" t="s">
        <v>19</v>
      </c>
      <c r="D768" t="s">
        <v>46</v>
      </c>
      <c r="E768" t="s">
        <v>11</v>
      </c>
      <c r="F768" t="s">
        <v>38</v>
      </c>
      <c r="G768">
        <v>34385</v>
      </c>
      <c r="H768">
        <v>6</v>
      </c>
      <c r="I768">
        <v>3</v>
      </c>
      <c r="J768" t="s">
        <v>22</v>
      </c>
      <c r="K768" s="4">
        <f>Table1[[#This Row],[Sales]]*Table1[[#This Row],[Quantity]]</f>
        <v>206310</v>
      </c>
      <c r="L768" s="4">
        <f>Table1[[#This Row],[Revenue]]-(Table1[[#This Row],[Revenue]]*Table1[[#This Row],[Discount]]/100)</f>
        <v>200120.7</v>
      </c>
    </row>
    <row r="769" spans="1:12" x14ac:dyDescent="0.55000000000000004">
      <c r="A769" t="s">
        <v>798</v>
      </c>
      <c r="B769" s="2">
        <v>45152</v>
      </c>
      <c r="C769" t="s">
        <v>15</v>
      </c>
      <c r="D769" t="s">
        <v>16</v>
      </c>
      <c r="E769" t="s">
        <v>17</v>
      </c>
      <c r="F769" t="s">
        <v>48</v>
      </c>
      <c r="G769">
        <v>29038</v>
      </c>
      <c r="H769">
        <v>1</v>
      </c>
      <c r="I769">
        <v>13</v>
      </c>
      <c r="J769" t="s">
        <v>22</v>
      </c>
      <c r="K769" s="4">
        <f>Table1[[#This Row],[Sales]]*Table1[[#This Row],[Quantity]]</f>
        <v>29038</v>
      </c>
      <c r="L769" s="4">
        <f>Table1[[#This Row],[Revenue]]-(Table1[[#This Row],[Revenue]]*Table1[[#This Row],[Discount]]/100)</f>
        <v>25263.06</v>
      </c>
    </row>
    <row r="770" spans="1:12" x14ac:dyDescent="0.55000000000000004">
      <c r="A770" t="s">
        <v>799</v>
      </c>
      <c r="B770" s="2">
        <v>45156</v>
      </c>
      <c r="C770" t="s">
        <v>31</v>
      </c>
      <c r="D770" t="s">
        <v>27</v>
      </c>
      <c r="E770" t="s">
        <v>17</v>
      </c>
      <c r="F770" t="s">
        <v>48</v>
      </c>
      <c r="G770">
        <v>21192</v>
      </c>
      <c r="H770">
        <v>6</v>
      </c>
      <c r="I770">
        <v>22</v>
      </c>
      <c r="J770" t="s">
        <v>22</v>
      </c>
      <c r="K770" s="4">
        <f>Table1[[#This Row],[Sales]]*Table1[[#This Row],[Quantity]]</f>
        <v>127152</v>
      </c>
      <c r="L770" s="4">
        <f>Table1[[#This Row],[Revenue]]-(Table1[[#This Row],[Revenue]]*Table1[[#This Row],[Discount]]/100)</f>
        <v>99178.559999999998</v>
      </c>
    </row>
    <row r="771" spans="1:12" x14ac:dyDescent="0.55000000000000004">
      <c r="A771" t="s">
        <v>800</v>
      </c>
      <c r="B771" s="2">
        <v>44949</v>
      </c>
      <c r="C771" t="s">
        <v>24</v>
      </c>
      <c r="D771" t="s">
        <v>16</v>
      </c>
      <c r="E771" t="s">
        <v>17</v>
      </c>
      <c r="F771" t="s">
        <v>34</v>
      </c>
      <c r="G771">
        <v>43672</v>
      </c>
      <c r="H771">
        <v>1</v>
      </c>
      <c r="I771">
        <v>5</v>
      </c>
      <c r="J771" t="s">
        <v>13</v>
      </c>
      <c r="K771" s="4">
        <f>Table1[[#This Row],[Sales]]*Table1[[#This Row],[Quantity]]</f>
        <v>43672</v>
      </c>
      <c r="L771" s="4">
        <f>Table1[[#This Row],[Revenue]]-(Table1[[#This Row],[Revenue]]*Table1[[#This Row],[Discount]]/100)</f>
        <v>41488.400000000001</v>
      </c>
    </row>
    <row r="772" spans="1:12" x14ac:dyDescent="0.55000000000000004">
      <c r="A772" t="s">
        <v>801</v>
      </c>
      <c r="B772" s="2">
        <v>45020</v>
      </c>
      <c r="C772" t="s">
        <v>31</v>
      </c>
      <c r="D772" t="s">
        <v>16</v>
      </c>
      <c r="E772" t="s">
        <v>11</v>
      </c>
      <c r="F772" t="s">
        <v>21</v>
      </c>
      <c r="G772">
        <v>9243</v>
      </c>
      <c r="H772">
        <v>10</v>
      </c>
      <c r="I772">
        <v>5</v>
      </c>
      <c r="J772" t="s">
        <v>25</v>
      </c>
      <c r="K772" s="4">
        <f>Table1[[#This Row],[Sales]]*Table1[[#This Row],[Quantity]]</f>
        <v>92430</v>
      </c>
      <c r="L772" s="4">
        <f>Table1[[#This Row],[Revenue]]-(Table1[[#This Row],[Revenue]]*Table1[[#This Row],[Discount]]/100)</f>
        <v>87808.5</v>
      </c>
    </row>
    <row r="773" spans="1:12" x14ac:dyDescent="0.55000000000000004">
      <c r="A773" t="s">
        <v>802</v>
      </c>
      <c r="B773" s="2">
        <v>44975</v>
      </c>
      <c r="C773" t="s">
        <v>19</v>
      </c>
      <c r="D773" t="s">
        <v>20</v>
      </c>
      <c r="E773" t="s">
        <v>11</v>
      </c>
      <c r="F773" t="s">
        <v>44</v>
      </c>
      <c r="G773">
        <v>27992</v>
      </c>
      <c r="H773">
        <v>9</v>
      </c>
      <c r="I773">
        <v>7</v>
      </c>
      <c r="J773" t="s">
        <v>22</v>
      </c>
      <c r="K773" s="4">
        <f>Table1[[#This Row],[Sales]]*Table1[[#This Row],[Quantity]]</f>
        <v>251928</v>
      </c>
      <c r="L773" s="4">
        <f>Table1[[#This Row],[Revenue]]-(Table1[[#This Row],[Revenue]]*Table1[[#This Row],[Discount]]/100)</f>
        <v>234293.04</v>
      </c>
    </row>
    <row r="774" spans="1:12" x14ac:dyDescent="0.55000000000000004">
      <c r="A774" t="s">
        <v>803</v>
      </c>
      <c r="B774" s="2">
        <v>45146</v>
      </c>
      <c r="C774" t="s">
        <v>24</v>
      </c>
      <c r="D774" t="s">
        <v>27</v>
      </c>
      <c r="E774" t="s">
        <v>17</v>
      </c>
      <c r="F774" t="s">
        <v>12</v>
      </c>
      <c r="G774">
        <v>17087</v>
      </c>
      <c r="H774">
        <v>5</v>
      </c>
      <c r="I774">
        <v>21</v>
      </c>
      <c r="J774" t="s">
        <v>13</v>
      </c>
      <c r="K774" s="4">
        <f>Table1[[#This Row],[Sales]]*Table1[[#This Row],[Quantity]]</f>
        <v>85435</v>
      </c>
      <c r="L774" s="4">
        <f>Table1[[#This Row],[Revenue]]-(Table1[[#This Row],[Revenue]]*Table1[[#This Row],[Discount]]/100)</f>
        <v>67493.649999999994</v>
      </c>
    </row>
    <row r="775" spans="1:12" x14ac:dyDescent="0.55000000000000004">
      <c r="A775" t="s">
        <v>804</v>
      </c>
      <c r="B775" s="2">
        <v>45019</v>
      </c>
      <c r="C775" t="s">
        <v>24</v>
      </c>
      <c r="D775" t="s">
        <v>37</v>
      </c>
      <c r="E775" t="s">
        <v>11</v>
      </c>
      <c r="F775" t="s">
        <v>34</v>
      </c>
      <c r="G775">
        <v>17056</v>
      </c>
      <c r="H775">
        <v>10</v>
      </c>
      <c r="I775">
        <v>7</v>
      </c>
      <c r="J775" t="s">
        <v>25</v>
      </c>
      <c r="K775" s="4">
        <f>Table1[[#This Row],[Sales]]*Table1[[#This Row],[Quantity]]</f>
        <v>170560</v>
      </c>
      <c r="L775" s="4">
        <f>Table1[[#This Row],[Revenue]]-(Table1[[#This Row],[Revenue]]*Table1[[#This Row],[Discount]]/100)</f>
        <v>158620.79999999999</v>
      </c>
    </row>
    <row r="776" spans="1:12" x14ac:dyDescent="0.55000000000000004">
      <c r="A776" t="s">
        <v>805</v>
      </c>
      <c r="B776" s="2">
        <v>45033</v>
      </c>
      <c r="C776" t="s">
        <v>31</v>
      </c>
      <c r="D776" t="s">
        <v>27</v>
      </c>
      <c r="E776" t="s">
        <v>11</v>
      </c>
      <c r="F776" t="s">
        <v>48</v>
      </c>
      <c r="G776">
        <v>31452</v>
      </c>
      <c r="H776">
        <v>8</v>
      </c>
      <c r="I776">
        <v>22</v>
      </c>
      <c r="J776" t="s">
        <v>22</v>
      </c>
      <c r="K776" s="4">
        <f>Table1[[#This Row],[Sales]]*Table1[[#This Row],[Quantity]]</f>
        <v>251616</v>
      </c>
      <c r="L776" s="4">
        <f>Table1[[#This Row],[Revenue]]-(Table1[[#This Row],[Revenue]]*Table1[[#This Row],[Discount]]/100)</f>
        <v>196260.48000000001</v>
      </c>
    </row>
    <row r="777" spans="1:12" x14ac:dyDescent="0.55000000000000004">
      <c r="A777" t="s">
        <v>806</v>
      </c>
      <c r="B777" s="2">
        <v>45223</v>
      </c>
      <c r="C777" t="s">
        <v>24</v>
      </c>
      <c r="D777" t="s">
        <v>46</v>
      </c>
      <c r="E777" t="s">
        <v>11</v>
      </c>
      <c r="F777" t="s">
        <v>21</v>
      </c>
      <c r="G777">
        <v>16180</v>
      </c>
      <c r="H777">
        <v>5</v>
      </c>
      <c r="I777">
        <v>26</v>
      </c>
      <c r="J777" t="s">
        <v>13</v>
      </c>
      <c r="K777" s="4">
        <f>Table1[[#This Row],[Sales]]*Table1[[#This Row],[Quantity]]</f>
        <v>80900</v>
      </c>
      <c r="L777" s="4">
        <f>Table1[[#This Row],[Revenue]]-(Table1[[#This Row],[Revenue]]*Table1[[#This Row],[Discount]]/100)</f>
        <v>59866</v>
      </c>
    </row>
    <row r="778" spans="1:12" x14ac:dyDescent="0.55000000000000004">
      <c r="A778" t="s">
        <v>807</v>
      </c>
      <c r="B778" s="2">
        <v>45061</v>
      </c>
      <c r="C778" t="s">
        <v>31</v>
      </c>
      <c r="D778" t="s">
        <v>16</v>
      </c>
      <c r="E778" t="s">
        <v>11</v>
      </c>
      <c r="F778" t="s">
        <v>21</v>
      </c>
      <c r="G778">
        <v>32289</v>
      </c>
      <c r="H778">
        <v>7</v>
      </c>
      <c r="I778">
        <v>16</v>
      </c>
      <c r="J778" t="s">
        <v>25</v>
      </c>
      <c r="K778" s="4">
        <f>Table1[[#This Row],[Sales]]*Table1[[#This Row],[Quantity]]</f>
        <v>226023</v>
      </c>
      <c r="L778" s="4">
        <f>Table1[[#This Row],[Revenue]]-(Table1[[#This Row],[Revenue]]*Table1[[#This Row],[Discount]]/100)</f>
        <v>189859.32</v>
      </c>
    </row>
    <row r="779" spans="1:12" x14ac:dyDescent="0.55000000000000004">
      <c r="A779" t="s">
        <v>808</v>
      </c>
      <c r="B779" s="2">
        <v>45113</v>
      </c>
      <c r="C779" t="s">
        <v>24</v>
      </c>
      <c r="D779" t="s">
        <v>27</v>
      </c>
      <c r="E779" t="s">
        <v>11</v>
      </c>
      <c r="F779" t="s">
        <v>29</v>
      </c>
      <c r="G779">
        <v>44007</v>
      </c>
      <c r="H779">
        <v>5</v>
      </c>
      <c r="I779">
        <v>14</v>
      </c>
      <c r="J779" t="s">
        <v>13</v>
      </c>
      <c r="K779" s="4">
        <f>Table1[[#This Row],[Sales]]*Table1[[#This Row],[Quantity]]</f>
        <v>220035</v>
      </c>
      <c r="L779" s="4">
        <f>Table1[[#This Row],[Revenue]]-(Table1[[#This Row],[Revenue]]*Table1[[#This Row],[Discount]]/100)</f>
        <v>189230.1</v>
      </c>
    </row>
    <row r="780" spans="1:12" x14ac:dyDescent="0.55000000000000004">
      <c r="A780" t="s">
        <v>809</v>
      </c>
      <c r="B780" s="2">
        <v>44966</v>
      </c>
      <c r="C780" t="s">
        <v>15</v>
      </c>
      <c r="D780" t="s">
        <v>27</v>
      </c>
      <c r="E780" t="s">
        <v>11</v>
      </c>
      <c r="F780" t="s">
        <v>44</v>
      </c>
      <c r="G780">
        <v>47857</v>
      </c>
      <c r="H780">
        <v>2</v>
      </c>
      <c r="I780">
        <v>5</v>
      </c>
      <c r="J780" t="s">
        <v>22</v>
      </c>
      <c r="K780" s="4">
        <f>Table1[[#This Row],[Sales]]*Table1[[#This Row],[Quantity]]</f>
        <v>95714</v>
      </c>
      <c r="L780" s="4">
        <f>Table1[[#This Row],[Revenue]]-(Table1[[#This Row],[Revenue]]*Table1[[#This Row],[Discount]]/100)</f>
        <v>90928.3</v>
      </c>
    </row>
    <row r="781" spans="1:12" x14ac:dyDescent="0.55000000000000004">
      <c r="A781" t="s">
        <v>810</v>
      </c>
      <c r="B781" s="2">
        <v>45109</v>
      </c>
      <c r="C781" t="s">
        <v>15</v>
      </c>
      <c r="D781" t="s">
        <v>46</v>
      </c>
      <c r="E781" t="s">
        <v>17</v>
      </c>
      <c r="F781" t="s">
        <v>21</v>
      </c>
      <c r="G781">
        <v>9660</v>
      </c>
      <c r="H781">
        <v>2</v>
      </c>
      <c r="I781">
        <v>17</v>
      </c>
      <c r="J781" t="s">
        <v>13</v>
      </c>
      <c r="K781" s="4">
        <f>Table1[[#This Row],[Sales]]*Table1[[#This Row],[Quantity]]</f>
        <v>19320</v>
      </c>
      <c r="L781" s="4">
        <f>Table1[[#This Row],[Revenue]]-(Table1[[#This Row],[Revenue]]*Table1[[#This Row],[Discount]]/100)</f>
        <v>16035.6</v>
      </c>
    </row>
    <row r="782" spans="1:12" x14ac:dyDescent="0.55000000000000004">
      <c r="A782" t="s">
        <v>811</v>
      </c>
      <c r="B782" s="2">
        <v>45060</v>
      </c>
      <c r="C782" t="s">
        <v>15</v>
      </c>
      <c r="D782" t="s">
        <v>20</v>
      </c>
      <c r="E782" t="s">
        <v>17</v>
      </c>
      <c r="F782" t="s">
        <v>21</v>
      </c>
      <c r="G782">
        <v>37087</v>
      </c>
      <c r="H782">
        <v>5</v>
      </c>
      <c r="I782">
        <v>18</v>
      </c>
      <c r="J782" t="s">
        <v>22</v>
      </c>
      <c r="K782" s="4">
        <f>Table1[[#This Row],[Sales]]*Table1[[#This Row],[Quantity]]</f>
        <v>185435</v>
      </c>
      <c r="L782" s="4">
        <f>Table1[[#This Row],[Revenue]]-(Table1[[#This Row],[Revenue]]*Table1[[#This Row],[Discount]]/100)</f>
        <v>152056.70000000001</v>
      </c>
    </row>
    <row r="783" spans="1:12" x14ac:dyDescent="0.55000000000000004">
      <c r="A783" t="s">
        <v>812</v>
      </c>
      <c r="B783" s="2">
        <v>45259</v>
      </c>
      <c r="C783" t="s">
        <v>19</v>
      </c>
      <c r="D783" t="s">
        <v>16</v>
      </c>
      <c r="E783" t="s">
        <v>17</v>
      </c>
      <c r="F783" t="s">
        <v>44</v>
      </c>
      <c r="G783">
        <v>44419</v>
      </c>
      <c r="H783">
        <v>6</v>
      </c>
      <c r="I783">
        <v>8</v>
      </c>
      <c r="J783" t="s">
        <v>22</v>
      </c>
      <c r="K783" s="4">
        <f>Table1[[#This Row],[Sales]]*Table1[[#This Row],[Quantity]]</f>
        <v>266514</v>
      </c>
      <c r="L783" s="4">
        <f>Table1[[#This Row],[Revenue]]-(Table1[[#This Row],[Revenue]]*Table1[[#This Row],[Discount]]/100)</f>
        <v>245192.88</v>
      </c>
    </row>
    <row r="784" spans="1:12" x14ac:dyDescent="0.55000000000000004">
      <c r="A784" t="s">
        <v>813</v>
      </c>
      <c r="B784" s="2">
        <v>45235</v>
      </c>
      <c r="C784" t="s">
        <v>19</v>
      </c>
      <c r="D784" t="s">
        <v>16</v>
      </c>
      <c r="E784" t="s">
        <v>17</v>
      </c>
      <c r="F784" t="s">
        <v>34</v>
      </c>
      <c r="G784">
        <v>5154</v>
      </c>
      <c r="H784">
        <v>8</v>
      </c>
      <c r="I784">
        <v>28</v>
      </c>
      <c r="J784" t="s">
        <v>13</v>
      </c>
      <c r="K784" s="4">
        <f>Table1[[#This Row],[Sales]]*Table1[[#This Row],[Quantity]]</f>
        <v>41232</v>
      </c>
      <c r="L784" s="4">
        <f>Table1[[#This Row],[Revenue]]-(Table1[[#This Row],[Revenue]]*Table1[[#This Row],[Discount]]/100)</f>
        <v>29687.040000000001</v>
      </c>
    </row>
    <row r="785" spans="1:12" x14ac:dyDescent="0.55000000000000004">
      <c r="A785" t="s">
        <v>814</v>
      </c>
      <c r="B785" s="2">
        <v>44989</v>
      </c>
      <c r="C785" t="s">
        <v>19</v>
      </c>
      <c r="D785" t="s">
        <v>16</v>
      </c>
      <c r="E785" t="s">
        <v>17</v>
      </c>
      <c r="F785" t="s">
        <v>12</v>
      </c>
      <c r="G785">
        <v>5401</v>
      </c>
      <c r="H785">
        <v>7</v>
      </c>
      <c r="I785">
        <v>20</v>
      </c>
      <c r="J785" t="s">
        <v>25</v>
      </c>
      <c r="K785" s="4">
        <f>Table1[[#This Row],[Sales]]*Table1[[#This Row],[Quantity]]</f>
        <v>37807</v>
      </c>
      <c r="L785" s="4">
        <f>Table1[[#This Row],[Revenue]]-(Table1[[#This Row],[Revenue]]*Table1[[#This Row],[Discount]]/100)</f>
        <v>30245.599999999999</v>
      </c>
    </row>
    <row r="786" spans="1:12" x14ac:dyDescent="0.55000000000000004">
      <c r="A786" t="s">
        <v>815</v>
      </c>
      <c r="B786" s="2">
        <v>44964</v>
      </c>
      <c r="C786" t="s">
        <v>15</v>
      </c>
      <c r="D786" t="s">
        <v>46</v>
      </c>
      <c r="E786" t="s">
        <v>11</v>
      </c>
      <c r="F786" t="s">
        <v>38</v>
      </c>
      <c r="G786">
        <v>20101</v>
      </c>
      <c r="H786">
        <v>2</v>
      </c>
      <c r="I786">
        <v>0</v>
      </c>
      <c r="J786" t="s">
        <v>13</v>
      </c>
      <c r="K786" s="4">
        <f>Table1[[#This Row],[Sales]]*Table1[[#This Row],[Quantity]]</f>
        <v>40202</v>
      </c>
      <c r="L786" s="4">
        <f>Table1[[#This Row],[Revenue]]-(Table1[[#This Row],[Revenue]]*Table1[[#This Row],[Discount]]/100)</f>
        <v>40202</v>
      </c>
    </row>
    <row r="787" spans="1:12" x14ac:dyDescent="0.55000000000000004">
      <c r="A787" t="s">
        <v>816</v>
      </c>
      <c r="B787" s="2">
        <v>45263</v>
      </c>
      <c r="C787" t="s">
        <v>15</v>
      </c>
      <c r="D787" t="s">
        <v>16</v>
      </c>
      <c r="E787" t="s">
        <v>11</v>
      </c>
      <c r="F787" t="s">
        <v>12</v>
      </c>
      <c r="G787">
        <v>6013</v>
      </c>
      <c r="H787">
        <v>8</v>
      </c>
      <c r="I787">
        <v>1</v>
      </c>
      <c r="J787" t="s">
        <v>25</v>
      </c>
      <c r="K787" s="4">
        <f>Table1[[#This Row],[Sales]]*Table1[[#This Row],[Quantity]]</f>
        <v>48104</v>
      </c>
      <c r="L787" s="4">
        <f>Table1[[#This Row],[Revenue]]-(Table1[[#This Row],[Revenue]]*Table1[[#This Row],[Discount]]/100)</f>
        <v>47622.96</v>
      </c>
    </row>
    <row r="788" spans="1:12" x14ac:dyDescent="0.55000000000000004">
      <c r="A788" t="s">
        <v>817</v>
      </c>
      <c r="B788" s="2">
        <v>45184</v>
      </c>
      <c r="C788" t="s">
        <v>15</v>
      </c>
      <c r="D788" t="s">
        <v>37</v>
      </c>
      <c r="E788" t="s">
        <v>17</v>
      </c>
      <c r="F788" t="s">
        <v>38</v>
      </c>
      <c r="G788">
        <v>17886</v>
      </c>
      <c r="H788">
        <v>9</v>
      </c>
      <c r="I788">
        <v>10</v>
      </c>
      <c r="J788" t="s">
        <v>22</v>
      </c>
      <c r="K788" s="4">
        <f>Table1[[#This Row],[Sales]]*Table1[[#This Row],[Quantity]]</f>
        <v>160974</v>
      </c>
      <c r="L788" s="4">
        <f>Table1[[#This Row],[Revenue]]-(Table1[[#This Row],[Revenue]]*Table1[[#This Row],[Discount]]/100)</f>
        <v>144876.6</v>
      </c>
    </row>
    <row r="789" spans="1:12" x14ac:dyDescent="0.55000000000000004">
      <c r="A789" t="s">
        <v>818</v>
      </c>
      <c r="B789" s="2">
        <v>45127</v>
      </c>
      <c r="C789" t="s">
        <v>31</v>
      </c>
      <c r="D789" t="s">
        <v>16</v>
      </c>
      <c r="E789" t="s">
        <v>17</v>
      </c>
      <c r="F789" t="s">
        <v>12</v>
      </c>
      <c r="G789">
        <v>37024</v>
      </c>
      <c r="H789">
        <v>5</v>
      </c>
      <c r="I789">
        <v>12</v>
      </c>
      <c r="J789" t="s">
        <v>25</v>
      </c>
      <c r="K789" s="4">
        <f>Table1[[#This Row],[Sales]]*Table1[[#This Row],[Quantity]]</f>
        <v>185120</v>
      </c>
      <c r="L789" s="4">
        <f>Table1[[#This Row],[Revenue]]-(Table1[[#This Row],[Revenue]]*Table1[[#This Row],[Discount]]/100)</f>
        <v>162905.60000000001</v>
      </c>
    </row>
    <row r="790" spans="1:12" x14ac:dyDescent="0.55000000000000004">
      <c r="A790" t="s">
        <v>819</v>
      </c>
      <c r="B790" s="2">
        <v>45061</v>
      </c>
      <c r="C790" t="s">
        <v>24</v>
      </c>
      <c r="D790" t="s">
        <v>20</v>
      </c>
      <c r="E790" t="s">
        <v>11</v>
      </c>
      <c r="F790" t="s">
        <v>29</v>
      </c>
      <c r="G790">
        <v>45253</v>
      </c>
      <c r="H790">
        <v>8</v>
      </c>
      <c r="I790">
        <v>8</v>
      </c>
      <c r="J790" t="s">
        <v>22</v>
      </c>
      <c r="K790" s="4">
        <f>Table1[[#This Row],[Sales]]*Table1[[#This Row],[Quantity]]</f>
        <v>362024</v>
      </c>
      <c r="L790" s="4">
        <f>Table1[[#This Row],[Revenue]]-(Table1[[#This Row],[Revenue]]*Table1[[#This Row],[Discount]]/100)</f>
        <v>333062.08</v>
      </c>
    </row>
    <row r="791" spans="1:12" x14ac:dyDescent="0.55000000000000004">
      <c r="A791" t="s">
        <v>820</v>
      </c>
      <c r="B791" s="2">
        <v>45063</v>
      </c>
      <c r="C791" t="s">
        <v>31</v>
      </c>
      <c r="D791" t="s">
        <v>20</v>
      </c>
      <c r="E791" t="s">
        <v>17</v>
      </c>
      <c r="F791" t="s">
        <v>48</v>
      </c>
      <c r="G791">
        <v>47967</v>
      </c>
      <c r="H791">
        <v>10</v>
      </c>
      <c r="I791">
        <v>18</v>
      </c>
      <c r="J791" t="s">
        <v>22</v>
      </c>
      <c r="K791" s="4">
        <f>Table1[[#This Row],[Sales]]*Table1[[#This Row],[Quantity]]</f>
        <v>479670</v>
      </c>
      <c r="L791" s="4">
        <f>Table1[[#This Row],[Revenue]]-(Table1[[#This Row],[Revenue]]*Table1[[#This Row],[Discount]]/100)</f>
        <v>393329.4</v>
      </c>
    </row>
    <row r="792" spans="1:12" x14ac:dyDescent="0.55000000000000004">
      <c r="A792" t="s">
        <v>821</v>
      </c>
      <c r="B792" s="2">
        <v>44986</v>
      </c>
      <c r="C792" t="s">
        <v>31</v>
      </c>
      <c r="D792" t="s">
        <v>46</v>
      </c>
      <c r="E792" t="s">
        <v>11</v>
      </c>
      <c r="F792" t="s">
        <v>34</v>
      </c>
      <c r="G792">
        <v>41615</v>
      </c>
      <c r="H792">
        <v>4</v>
      </c>
      <c r="I792">
        <v>9</v>
      </c>
      <c r="J792" t="s">
        <v>25</v>
      </c>
      <c r="K792" s="4">
        <f>Table1[[#This Row],[Sales]]*Table1[[#This Row],[Quantity]]</f>
        <v>166460</v>
      </c>
      <c r="L792" s="4">
        <f>Table1[[#This Row],[Revenue]]-(Table1[[#This Row],[Revenue]]*Table1[[#This Row],[Discount]]/100)</f>
        <v>151478.6</v>
      </c>
    </row>
    <row r="793" spans="1:12" x14ac:dyDescent="0.55000000000000004">
      <c r="A793" t="s">
        <v>822</v>
      </c>
      <c r="B793" s="2">
        <v>45008</v>
      </c>
      <c r="C793" t="s">
        <v>15</v>
      </c>
      <c r="D793" t="s">
        <v>46</v>
      </c>
      <c r="E793" t="s">
        <v>11</v>
      </c>
      <c r="F793" t="s">
        <v>12</v>
      </c>
      <c r="G793">
        <v>2166</v>
      </c>
      <c r="H793">
        <v>6</v>
      </c>
      <c r="I793">
        <v>23</v>
      </c>
      <c r="J793" t="s">
        <v>22</v>
      </c>
      <c r="K793" s="4">
        <f>Table1[[#This Row],[Sales]]*Table1[[#This Row],[Quantity]]</f>
        <v>12996</v>
      </c>
      <c r="L793" s="4">
        <f>Table1[[#This Row],[Revenue]]-(Table1[[#This Row],[Revenue]]*Table1[[#This Row],[Discount]]/100)</f>
        <v>10006.92</v>
      </c>
    </row>
    <row r="794" spans="1:12" x14ac:dyDescent="0.55000000000000004">
      <c r="A794" t="s">
        <v>823</v>
      </c>
      <c r="B794" s="2">
        <v>45160</v>
      </c>
      <c r="C794" t="s">
        <v>15</v>
      </c>
      <c r="D794" t="s">
        <v>27</v>
      </c>
      <c r="E794" t="s">
        <v>17</v>
      </c>
      <c r="F794" t="s">
        <v>44</v>
      </c>
      <c r="G794">
        <v>43956</v>
      </c>
      <c r="H794">
        <v>4</v>
      </c>
      <c r="I794">
        <v>20</v>
      </c>
      <c r="J794" t="s">
        <v>25</v>
      </c>
      <c r="K794" s="4">
        <f>Table1[[#This Row],[Sales]]*Table1[[#This Row],[Quantity]]</f>
        <v>175824</v>
      </c>
      <c r="L794" s="4">
        <f>Table1[[#This Row],[Revenue]]-(Table1[[#This Row],[Revenue]]*Table1[[#This Row],[Discount]]/100)</f>
        <v>140659.20000000001</v>
      </c>
    </row>
    <row r="795" spans="1:12" x14ac:dyDescent="0.55000000000000004">
      <c r="A795" t="s">
        <v>824</v>
      </c>
      <c r="B795" s="2">
        <v>45248</v>
      </c>
      <c r="C795" t="s">
        <v>24</v>
      </c>
      <c r="D795" t="s">
        <v>46</v>
      </c>
      <c r="E795" t="s">
        <v>17</v>
      </c>
      <c r="F795" t="s">
        <v>29</v>
      </c>
      <c r="G795">
        <v>4897</v>
      </c>
      <c r="H795">
        <v>3</v>
      </c>
      <c r="I795">
        <v>23</v>
      </c>
      <c r="J795" t="s">
        <v>13</v>
      </c>
      <c r="K795" s="4">
        <f>Table1[[#This Row],[Sales]]*Table1[[#This Row],[Quantity]]</f>
        <v>14691</v>
      </c>
      <c r="L795" s="4">
        <f>Table1[[#This Row],[Revenue]]-(Table1[[#This Row],[Revenue]]*Table1[[#This Row],[Discount]]/100)</f>
        <v>11312.07</v>
      </c>
    </row>
    <row r="796" spans="1:12" x14ac:dyDescent="0.55000000000000004">
      <c r="A796" t="s">
        <v>825</v>
      </c>
      <c r="B796" s="2">
        <v>45031</v>
      </c>
      <c r="C796" t="s">
        <v>15</v>
      </c>
      <c r="D796" t="s">
        <v>46</v>
      </c>
      <c r="E796" t="s">
        <v>11</v>
      </c>
      <c r="F796" t="s">
        <v>38</v>
      </c>
      <c r="G796">
        <v>20731</v>
      </c>
      <c r="H796">
        <v>3</v>
      </c>
      <c r="I796">
        <v>22</v>
      </c>
      <c r="J796" t="s">
        <v>13</v>
      </c>
      <c r="K796" s="4">
        <f>Table1[[#This Row],[Sales]]*Table1[[#This Row],[Quantity]]</f>
        <v>62193</v>
      </c>
      <c r="L796" s="4">
        <f>Table1[[#This Row],[Revenue]]-(Table1[[#This Row],[Revenue]]*Table1[[#This Row],[Discount]]/100)</f>
        <v>48510.54</v>
      </c>
    </row>
    <row r="797" spans="1:12" x14ac:dyDescent="0.55000000000000004">
      <c r="A797" t="s">
        <v>826</v>
      </c>
      <c r="B797" s="2">
        <v>44948</v>
      </c>
      <c r="C797" t="s">
        <v>19</v>
      </c>
      <c r="D797" t="s">
        <v>37</v>
      </c>
      <c r="E797" t="s">
        <v>17</v>
      </c>
      <c r="F797" t="s">
        <v>21</v>
      </c>
      <c r="G797">
        <v>48778</v>
      </c>
      <c r="H797">
        <v>1</v>
      </c>
      <c r="I797">
        <v>22</v>
      </c>
      <c r="J797" t="s">
        <v>13</v>
      </c>
      <c r="K797" s="4">
        <f>Table1[[#This Row],[Sales]]*Table1[[#This Row],[Quantity]]</f>
        <v>48778</v>
      </c>
      <c r="L797" s="4">
        <f>Table1[[#This Row],[Revenue]]-(Table1[[#This Row],[Revenue]]*Table1[[#This Row],[Discount]]/100)</f>
        <v>38046.839999999997</v>
      </c>
    </row>
    <row r="798" spans="1:12" x14ac:dyDescent="0.55000000000000004">
      <c r="A798" t="s">
        <v>827</v>
      </c>
      <c r="B798" s="2">
        <v>45176</v>
      </c>
      <c r="C798" t="s">
        <v>15</v>
      </c>
      <c r="D798" t="s">
        <v>16</v>
      </c>
      <c r="E798" t="s">
        <v>17</v>
      </c>
      <c r="F798" t="s">
        <v>12</v>
      </c>
      <c r="G798">
        <v>44226</v>
      </c>
      <c r="H798">
        <v>3</v>
      </c>
      <c r="I798">
        <v>28</v>
      </c>
      <c r="J798" t="s">
        <v>13</v>
      </c>
      <c r="K798" s="4">
        <f>Table1[[#This Row],[Sales]]*Table1[[#This Row],[Quantity]]</f>
        <v>132678</v>
      </c>
      <c r="L798" s="4">
        <f>Table1[[#This Row],[Revenue]]-(Table1[[#This Row],[Revenue]]*Table1[[#This Row],[Discount]]/100)</f>
        <v>95528.16</v>
      </c>
    </row>
    <row r="799" spans="1:12" x14ac:dyDescent="0.55000000000000004">
      <c r="A799" t="s">
        <v>828</v>
      </c>
      <c r="B799" s="2">
        <v>45032</v>
      </c>
      <c r="C799" t="s">
        <v>24</v>
      </c>
      <c r="D799" t="s">
        <v>27</v>
      </c>
      <c r="E799" t="s">
        <v>11</v>
      </c>
      <c r="F799" t="s">
        <v>38</v>
      </c>
      <c r="G799">
        <v>35721</v>
      </c>
      <c r="H799">
        <v>6</v>
      </c>
      <c r="I799">
        <v>24</v>
      </c>
      <c r="J799" t="s">
        <v>25</v>
      </c>
      <c r="K799" s="4">
        <f>Table1[[#This Row],[Sales]]*Table1[[#This Row],[Quantity]]</f>
        <v>214326</v>
      </c>
      <c r="L799" s="4">
        <f>Table1[[#This Row],[Revenue]]-(Table1[[#This Row],[Revenue]]*Table1[[#This Row],[Discount]]/100)</f>
        <v>162887.76</v>
      </c>
    </row>
    <row r="800" spans="1:12" x14ac:dyDescent="0.55000000000000004">
      <c r="A800" t="s">
        <v>829</v>
      </c>
      <c r="B800" s="2">
        <v>44978</v>
      </c>
      <c r="C800" t="s">
        <v>15</v>
      </c>
      <c r="D800" t="s">
        <v>20</v>
      </c>
      <c r="E800" t="s">
        <v>17</v>
      </c>
      <c r="F800" t="s">
        <v>21</v>
      </c>
      <c r="G800">
        <v>36273</v>
      </c>
      <c r="H800">
        <v>8</v>
      </c>
      <c r="I800">
        <v>27</v>
      </c>
      <c r="J800" t="s">
        <v>25</v>
      </c>
      <c r="K800" s="4">
        <f>Table1[[#This Row],[Sales]]*Table1[[#This Row],[Quantity]]</f>
        <v>290184</v>
      </c>
      <c r="L800" s="4">
        <f>Table1[[#This Row],[Revenue]]-(Table1[[#This Row],[Revenue]]*Table1[[#This Row],[Discount]]/100)</f>
        <v>211834.32</v>
      </c>
    </row>
    <row r="801" spans="1:12" x14ac:dyDescent="0.55000000000000004">
      <c r="A801" t="s">
        <v>830</v>
      </c>
      <c r="B801" s="2">
        <v>45179</v>
      </c>
      <c r="C801" t="s">
        <v>24</v>
      </c>
      <c r="D801" t="s">
        <v>16</v>
      </c>
      <c r="E801" t="s">
        <v>17</v>
      </c>
      <c r="F801" t="s">
        <v>34</v>
      </c>
      <c r="G801">
        <v>18165</v>
      </c>
      <c r="H801">
        <v>7</v>
      </c>
      <c r="I801">
        <v>1</v>
      </c>
      <c r="J801" t="s">
        <v>13</v>
      </c>
      <c r="K801" s="4">
        <f>Table1[[#This Row],[Sales]]*Table1[[#This Row],[Quantity]]</f>
        <v>127155</v>
      </c>
      <c r="L801" s="4">
        <f>Table1[[#This Row],[Revenue]]-(Table1[[#This Row],[Revenue]]*Table1[[#This Row],[Discount]]/100)</f>
        <v>125883.45</v>
      </c>
    </row>
    <row r="802" spans="1:12" x14ac:dyDescent="0.55000000000000004">
      <c r="A802" t="s">
        <v>831</v>
      </c>
      <c r="B802" s="2">
        <v>45131</v>
      </c>
      <c r="C802" t="s">
        <v>31</v>
      </c>
      <c r="D802" t="s">
        <v>20</v>
      </c>
      <c r="E802" t="s">
        <v>11</v>
      </c>
      <c r="F802" t="s">
        <v>48</v>
      </c>
      <c r="G802">
        <v>4636</v>
      </c>
      <c r="H802">
        <v>8</v>
      </c>
      <c r="I802">
        <v>10</v>
      </c>
      <c r="J802" t="s">
        <v>25</v>
      </c>
      <c r="K802" s="4">
        <f>Table1[[#This Row],[Sales]]*Table1[[#This Row],[Quantity]]</f>
        <v>37088</v>
      </c>
      <c r="L802" s="4">
        <f>Table1[[#This Row],[Revenue]]-(Table1[[#This Row],[Revenue]]*Table1[[#This Row],[Discount]]/100)</f>
        <v>33379.199999999997</v>
      </c>
    </row>
    <row r="803" spans="1:12" x14ac:dyDescent="0.55000000000000004">
      <c r="A803" t="s">
        <v>832</v>
      </c>
      <c r="B803" s="2">
        <v>45290</v>
      </c>
      <c r="C803" t="s">
        <v>24</v>
      </c>
      <c r="D803" t="s">
        <v>20</v>
      </c>
      <c r="E803" t="s">
        <v>11</v>
      </c>
      <c r="F803" t="s">
        <v>34</v>
      </c>
      <c r="G803">
        <v>48256</v>
      </c>
      <c r="H803">
        <v>4</v>
      </c>
      <c r="I803">
        <v>24</v>
      </c>
      <c r="J803" t="s">
        <v>25</v>
      </c>
      <c r="K803" s="4">
        <f>Table1[[#This Row],[Sales]]*Table1[[#This Row],[Quantity]]</f>
        <v>193024</v>
      </c>
      <c r="L803" s="4">
        <f>Table1[[#This Row],[Revenue]]-(Table1[[#This Row],[Revenue]]*Table1[[#This Row],[Discount]]/100)</f>
        <v>146698.23999999999</v>
      </c>
    </row>
    <row r="804" spans="1:12" x14ac:dyDescent="0.55000000000000004">
      <c r="A804" t="s">
        <v>833</v>
      </c>
      <c r="B804" s="2">
        <v>44946</v>
      </c>
      <c r="C804" t="s">
        <v>15</v>
      </c>
      <c r="D804" t="s">
        <v>46</v>
      </c>
      <c r="E804" t="s">
        <v>17</v>
      </c>
      <c r="F804" t="s">
        <v>34</v>
      </c>
      <c r="G804">
        <v>2859</v>
      </c>
      <c r="H804">
        <v>3</v>
      </c>
      <c r="I804">
        <v>2</v>
      </c>
      <c r="J804" t="s">
        <v>25</v>
      </c>
      <c r="K804" s="4">
        <f>Table1[[#This Row],[Sales]]*Table1[[#This Row],[Quantity]]</f>
        <v>8577</v>
      </c>
      <c r="L804" s="4">
        <f>Table1[[#This Row],[Revenue]]-(Table1[[#This Row],[Revenue]]*Table1[[#This Row],[Discount]]/100)</f>
        <v>8405.4599999999991</v>
      </c>
    </row>
    <row r="805" spans="1:12" x14ac:dyDescent="0.55000000000000004">
      <c r="A805" t="s">
        <v>834</v>
      </c>
      <c r="B805" s="2">
        <v>45104</v>
      </c>
      <c r="C805" t="s">
        <v>15</v>
      </c>
      <c r="D805" t="s">
        <v>37</v>
      </c>
      <c r="E805" t="s">
        <v>17</v>
      </c>
      <c r="F805" t="s">
        <v>38</v>
      </c>
      <c r="G805">
        <v>31994</v>
      </c>
      <c r="H805">
        <v>2</v>
      </c>
      <c r="I805">
        <v>26</v>
      </c>
      <c r="J805" t="s">
        <v>13</v>
      </c>
      <c r="K805" s="4">
        <f>Table1[[#This Row],[Sales]]*Table1[[#This Row],[Quantity]]</f>
        <v>63988</v>
      </c>
      <c r="L805" s="4">
        <f>Table1[[#This Row],[Revenue]]-(Table1[[#This Row],[Revenue]]*Table1[[#This Row],[Discount]]/100)</f>
        <v>47351.119999999995</v>
      </c>
    </row>
    <row r="806" spans="1:12" x14ac:dyDescent="0.55000000000000004">
      <c r="A806" t="s">
        <v>835</v>
      </c>
      <c r="B806" s="2">
        <v>45209</v>
      </c>
      <c r="C806" t="s">
        <v>24</v>
      </c>
      <c r="D806" t="s">
        <v>27</v>
      </c>
      <c r="E806" t="s">
        <v>17</v>
      </c>
      <c r="F806" t="s">
        <v>44</v>
      </c>
      <c r="G806">
        <v>32429</v>
      </c>
      <c r="H806">
        <v>8</v>
      </c>
      <c r="I806">
        <v>14</v>
      </c>
      <c r="J806" t="s">
        <v>13</v>
      </c>
      <c r="K806" s="4">
        <f>Table1[[#This Row],[Sales]]*Table1[[#This Row],[Quantity]]</f>
        <v>259432</v>
      </c>
      <c r="L806" s="4">
        <f>Table1[[#This Row],[Revenue]]-(Table1[[#This Row],[Revenue]]*Table1[[#This Row],[Discount]]/100)</f>
        <v>223111.52</v>
      </c>
    </row>
    <row r="807" spans="1:12" x14ac:dyDescent="0.55000000000000004">
      <c r="A807" t="s">
        <v>836</v>
      </c>
      <c r="B807" s="2">
        <v>45132</v>
      </c>
      <c r="C807" t="s">
        <v>19</v>
      </c>
      <c r="D807" t="s">
        <v>37</v>
      </c>
      <c r="E807" t="s">
        <v>11</v>
      </c>
      <c r="F807" t="s">
        <v>29</v>
      </c>
      <c r="G807">
        <v>49103</v>
      </c>
      <c r="H807">
        <v>5</v>
      </c>
      <c r="I807">
        <v>0</v>
      </c>
      <c r="J807" t="s">
        <v>25</v>
      </c>
      <c r="K807" s="4">
        <f>Table1[[#This Row],[Sales]]*Table1[[#This Row],[Quantity]]</f>
        <v>245515</v>
      </c>
      <c r="L807" s="4">
        <f>Table1[[#This Row],[Revenue]]-(Table1[[#This Row],[Revenue]]*Table1[[#This Row],[Discount]]/100)</f>
        <v>245515</v>
      </c>
    </row>
    <row r="808" spans="1:12" x14ac:dyDescent="0.55000000000000004">
      <c r="A808" t="s">
        <v>837</v>
      </c>
      <c r="B808" s="2">
        <v>45248</v>
      </c>
      <c r="C808" t="s">
        <v>15</v>
      </c>
      <c r="D808" t="s">
        <v>46</v>
      </c>
      <c r="E808" t="s">
        <v>11</v>
      </c>
      <c r="F808" t="s">
        <v>12</v>
      </c>
      <c r="G808">
        <v>2792</v>
      </c>
      <c r="H808">
        <v>4</v>
      </c>
      <c r="I808">
        <v>19</v>
      </c>
      <c r="J808" t="s">
        <v>13</v>
      </c>
      <c r="K808" s="4">
        <f>Table1[[#This Row],[Sales]]*Table1[[#This Row],[Quantity]]</f>
        <v>11168</v>
      </c>
      <c r="L808" s="4">
        <f>Table1[[#This Row],[Revenue]]-(Table1[[#This Row],[Revenue]]*Table1[[#This Row],[Discount]]/100)</f>
        <v>9046.08</v>
      </c>
    </row>
    <row r="809" spans="1:12" x14ac:dyDescent="0.55000000000000004">
      <c r="A809" t="s">
        <v>838</v>
      </c>
      <c r="B809" s="2">
        <v>44983</v>
      </c>
      <c r="C809" t="s">
        <v>31</v>
      </c>
      <c r="D809" t="s">
        <v>37</v>
      </c>
      <c r="E809" t="s">
        <v>17</v>
      </c>
      <c r="F809" t="s">
        <v>12</v>
      </c>
      <c r="G809">
        <v>27293</v>
      </c>
      <c r="H809">
        <v>10</v>
      </c>
      <c r="I809">
        <v>17</v>
      </c>
      <c r="J809" t="s">
        <v>22</v>
      </c>
      <c r="K809" s="4">
        <f>Table1[[#This Row],[Sales]]*Table1[[#This Row],[Quantity]]</f>
        <v>272930</v>
      </c>
      <c r="L809" s="4">
        <f>Table1[[#This Row],[Revenue]]-(Table1[[#This Row],[Revenue]]*Table1[[#This Row],[Discount]]/100)</f>
        <v>226531.9</v>
      </c>
    </row>
    <row r="810" spans="1:12" x14ac:dyDescent="0.55000000000000004">
      <c r="A810" t="s">
        <v>839</v>
      </c>
      <c r="B810" s="2">
        <v>45035</v>
      </c>
      <c r="C810" t="s">
        <v>19</v>
      </c>
      <c r="D810" t="s">
        <v>16</v>
      </c>
      <c r="E810" t="s">
        <v>11</v>
      </c>
      <c r="F810" t="s">
        <v>34</v>
      </c>
      <c r="G810">
        <v>10752</v>
      </c>
      <c r="H810">
        <v>3</v>
      </c>
      <c r="I810">
        <v>1</v>
      </c>
      <c r="J810" t="s">
        <v>25</v>
      </c>
      <c r="K810" s="4">
        <f>Table1[[#This Row],[Sales]]*Table1[[#This Row],[Quantity]]</f>
        <v>32256</v>
      </c>
      <c r="L810" s="4">
        <f>Table1[[#This Row],[Revenue]]-(Table1[[#This Row],[Revenue]]*Table1[[#This Row],[Discount]]/100)</f>
        <v>31933.439999999999</v>
      </c>
    </row>
    <row r="811" spans="1:12" x14ac:dyDescent="0.55000000000000004">
      <c r="A811" t="s">
        <v>840</v>
      </c>
      <c r="B811" s="2">
        <v>45035</v>
      </c>
      <c r="C811" t="s">
        <v>15</v>
      </c>
      <c r="D811" t="s">
        <v>16</v>
      </c>
      <c r="E811" t="s">
        <v>11</v>
      </c>
      <c r="F811" t="s">
        <v>38</v>
      </c>
      <c r="G811">
        <v>9915</v>
      </c>
      <c r="H811">
        <v>4</v>
      </c>
      <c r="I811">
        <v>20</v>
      </c>
      <c r="J811" t="s">
        <v>13</v>
      </c>
      <c r="K811" s="4">
        <f>Table1[[#This Row],[Sales]]*Table1[[#This Row],[Quantity]]</f>
        <v>39660</v>
      </c>
      <c r="L811" s="4">
        <f>Table1[[#This Row],[Revenue]]-(Table1[[#This Row],[Revenue]]*Table1[[#This Row],[Discount]]/100)</f>
        <v>31728</v>
      </c>
    </row>
    <row r="812" spans="1:12" x14ac:dyDescent="0.55000000000000004">
      <c r="A812" t="s">
        <v>841</v>
      </c>
      <c r="B812" s="2">
        <v>45085</v>
      </c>
      <c r="C812" t="s">
        <v>15</v>
      </c>
      <c r="D812" t="s">
        <v>20</v>
      </c>
      <c r="E812" t="s">
        <v>11</v>
      </c>
      <c r="F812" t="s">
        <v>12</v>
      </c>
      <c r="G812">
        <v>813</v>
      </c>
      <c r="H812">
        <v>1</v>
      </c>
      <c r="I812">
        <v>22</v>
      </c>
      <c r="J812" t="s">
        <v>25</v>
      </c>
      <c r="K812" s="4">
        <f>Table1[[#This Row],[Sales]]*Table1[[#This Row],[Quantity]]</f>
        <v>813</v>
      </c>
      <c r="L812" s="4">
        <f>Table1[[#This Row],[Revenue]]-(Table1[[#This Row],[Revenue]]*Table1[[#This Row],[Discount]]/100)</f>
        <v>634.14</v>
      </c>
    </row>
    <row r="813" spans="1:12" x14ac:dyDescent="0.55000000000000004">
      <c r="A813" t="s">
        <v>842</v>
      </c>
      <c r="B813" s="2">
        <v>45004</v>
      </c>
      <c r="C813" t="s">
        <v>15</v>
      </c>
      <c r="D813" t="s">
        <v>46</v>
      </c>
      <c r="E813" t="s">
        <v>11</v>
      </c>
      <c r="F813" t="s">
        <v>21</v>
      </c>
      <c r="G813">
        <v>35930</v>
      </c>
      <c r="H813">
        <v>7</v>
      </c>
      <c r="I813">
        <v>15</v>
      </c>
      <c r="J813" t="s">
        <v>13</v>
      </c>
      <c r="K813" s="4">
        <f>Table1[[#This Row],[Sales]]*Table1[[#This Row],[Quantity]]</f>
        <v>251510</v>
      </c>
      <c r="L813" s="4">
        <f>Table1[[#This Row],[Revenue]]-(Table1[[#This Row],[Revenue]]*Table1[[#This Row],[Discount]]/100)</f>
        <v>213783.5</v>
      </c>
    </row>
    <row r="814" spans="1:12" x14ac:dyDescent="0.55000000000000004">
      <c r="A814" t="s">
        <v>843</v>
      </c>
      <c r="B814" s="2">
        <v>44997</v>
      </c>
      <c r="C814" t="s">
        <v>24</v>
      </c>
      <c r="D814" t="s">
        <v>16</v>
      </c>
      <c r="E814" t="s">
        <v>17</v>
      </c>
      <c r="F814" t="s">
        <v>44</v>
      </c>
      <c r="G814">
        <v>21380</v>
      </c>
      <c r="H814">
        <v>3</v>
      </c>
      <c r="I814">
        <v>0</v>
      </c>
      <c r="J814" t="s">
        <v>22</v>
      </c>
      <c r="K814" s="4">
        <f>Table1[[#This Row],[Sales]]*Table1[[#This Row],[Quantity]]</f>
        <v>64140</v>
      </c>
      <c r="L814" s="4">
        <f>Table1[[#This Row],[Revenue]]-(Table1[[#This Row],[Revenue]]*Table1[[#This Row],[Discount]]/100)</f>
        <v>64140</v>
      </c>
    </row>
    <row r="815" spans="1:12" x14ac:dyDescent="0.55000000000000004">
      <c r="A815" t="s">
        <v>844</v>
      </c>
      <c r="B815" s="2">
        <v>44946</v>
      </c>
      <c r="C815" t="s">
        <v>31</v>
      </c>
      <c r="D815" t="s">
        <v>37</v>
      </c>
      <c r="E815" t="s">
        <v>17</v>
      </c>
      <c r="F815" t="s">
        <v>44</v>
      </c>
      <c r="G815">
        <v>40094</v>
      </c>
      <c r="H815">
        <v>5</v>
      </c>
      <c r="I815">
        <v>13</v>
      </c>
      <c r="J815" t="s">
        <v>25</v>
      </c>
      <c r="K815" s="4">
        <f>Table1[[#This Row],[Sales]]*Table1[[#This Row],[Quantity]]</f>
        <v>200470</v>
      </c>
      <c r="L815" s="4">
        <f>Table1[[#This Row],[Revenue]]-(Table1[[#This Row],[Revenue]]*Table1[[#This Row],[Discount]]/100)</f>
        <v>174408.9</v>
      </c>
    </row>
    <row r="816" spans="1:12" x14ac:dyDescent="0.55000000000000004">
      <c r="A816" t="s">
        <v>845</v>
      </c>
      <c r="B816" s="2">
        <v>45107</v>
      </c>
      <c r="C816" t="s">
        <v>24</v>
      </c>
      <c r="D816" t="s">
        <v>46</v>
      </c>
      <c r="E816" t="s">
        <v>11</v>
      </c>
      <c r="F816" t="s">
        <v>38</v>
      </c>
      <c r="G816">
        <v>27700</v>
      </c>
      <c r="H816">
        <v>4</v>
      </c>
      <c r="I816">
        <v>21</v>
      </c>
      <c r="J816" t="s">
        <v>25</v>
      </c>
      <c r="K816" s="4">
        <f>Table1[[#This Row],[Sales]]*Table1[[#This Row],[Quantity]]</f>
        <v>110800</v>
      </c>
      <c r="L816" s="4">
        <f>Table1[[#This Row],[Revenue]]-(Table1[[#This Row],[Revenue]]*Table1[[#This Row],[Discount]]/100)</f>
        <v>87532</v>
      </c>
    </row>
    <row r="817" spans="1:12" x14ac:dyDescent="0.55000000000000004">
      <c r="A817" t="s">
        <v>846</v>
      </c>
      <c r="B817" s="2">
        <v>45139</v>
      </c>
      <c r="C817" t="s">
        <v>15</v>
      </c>
      <c r="D817" t="s">
        <v>46</v>
      </c>
      <c r="E817" t="s">
        <v>17</v>
      </c>
      <c r="F817" t="s">
        <v>29</v>
      </c>
      <c r="G817">
        <v>39307</v>
      </c>
      <c r="H817">
        <v>5</v>
      </c>
      <c r="I817">
        <v>20</v>
      </c>
      <c r="J817" t="s">
        <v>13</v>
      </c>
      <c r="K817" s="4">
        <f>Table1[[#This Row],[Sales]]*Table1[[#This Row],[Quantity]]</f>
        <v>196535</v>
      </c>
      <c r="L817" s="4">
        <f>Table1[[#This Row],[Revenue]]-(Table1[[#This Row],[Revenue]]*Table1[[#This Row],[Discount]]/100)</f>
        <v>157228</v>
      </c>
    </row>
    <row r="818" spans="1:12" x14ac:dyDescent="0.55000000000000004">
      <c r="A818" t="s">
        <v>847</v>
      </c>
      <c r="B818" s="2">
        <v>45288</v>
      </c>
      <c r="C818" t="s">
        <v>15</v>
      </c>
      <c r="D818" t="s">
        <v>16</v>
      </c>
      <c r="E818" t="s">
        <v>11</v>
      </c>
      <c r="F818" t="s">
        <v>34</v>
      </c>
      <c r="G818">
        <v>33145</v>
      </c>
      <c r="H818">
        <v>4</v>
      </c>
      <c r="I818">
        <v>15</v>
      </c>
      <c r="J818" t="s">
        <v>22</v>
      </c>
      <c r="K818" s="4">
        <f>Table1[[#This Row],[Sales]]*Table1[[#This Row],[Quantity]]</f>
        <v>132580</v>
      </c>
      <c r="L818" s="4">
        <f>Table1[[#This Row],[Revenue]]-(Table1[[#This Row],[Revenue]]*Table1[[#This Row],[Discount]]/100)</f>
        <v>112693</v>
      </c>
    </row>
    <row r="819" spans="1:12" x14ac:dyDescent="0.55000000000000004">
      <c r="A819" t="s">
        <v>848</v>
      </c>
      <c r="B819" s="2">
        <v>45075</v>
      </c>
      <c r="C819" t="s">
        <v>31</v>
      </c>
      <c r="D819" t="s">
        <v>46</v>
      </c>
      <c r="E819" t="s">
        <v>17</v>
      </c>
      <c r="F819" t="s">
        <v>12</v>
      </c>
      <c r="G819">
        <v>17962</v>
      </c>
      <c r="H819">
        <v>6</v>
      </c>
      <c r="I819">
        <v>8</v>
      </c>
      <c r="J819" t="s">
        <v>22</v>
      </c>
      <c r="K819" s="4">
        <f>Table1[[#This Row],[Sales]]*Table1[[#This Row],[Quantity]]</f>
        <v>107772</v>
      </c>
      <c r="L819" s="4">
        <f>Table1[[#This Row],[Revenue]]-(Table1[[#This Row],[Revenue]]*Table1[[#This Row],[Discount]]/100)</f>
        <v>99150.24</v>
      </c>
    </row>
    <row r="820" spans="1:12" x14ac:dyDescent="0.55000000000000004">
      <c r="A820" t="s">
        <v>849</v>
      </c>
      <c r="B820" s="2">
        <v>45039</v>
      </c>
      <c r="C820" t="s">
        <v>31</v>
      </c>
      <c r="D820" t="s">
        <v>20</v>
      </c>
      <c r="E820" t="s">
        <v>17</v>
      </c>
      <c r="F820" t="s">
        <v>12</v>
      </c>
      <c r="G820">
        <v>17828</v>
      </c>
      <c r="H820">
        <v>4</v>
      </c>
      <c r="I820">
        <v>9</v>
      </c>
      <c r="J820" t="s">
        <v>22</v>
      </c>
      <c r="K820" s="4">
        <f>Table1[[#This Row],[Sales]]*Table1[[#This Row],[Quantity]]</f>
        <v>71312</v>
      </c>
      <c r="L820" s="4">
        <f>Table1[[#This Row],[Revenue]]-(Table1[[#This Row],[Revenue]]*Table1[[#This Row],[Discount]]/100)</f>
        <v>64893.919999999998</v>
      </c>
    </row>
    <row r="821" spans="1:12" x14ac:dyDescent="0.55000000000000004">
      <c r="A821" t="s">
        <v>850</v>
      </c>
      <c r="B821" s="2">
        <v>44992</v>
      </c>
      <c r="C821" t="s">
        <v>31</v>
      </c>
      <c r="D821" t="s">
        <v>20</v>
      </c>
      <c r="E821" t="s">
        <v>11</v>
      </c>
      <c r="F821" t="s">
        <v>29</v>
      </c>
      <c r="G821">
        <v>14681</v>
      </c>
      <c r="H821">
        <v>10</v>
      </c>
      <c r="I821">
        <v>26</v>
      </c>
      <c r="J821" t="s">
        <v>22</v>
      </c>
      <c r="K821" s="4">
        <f>Table1[[#This Row],[Sales]]*Table1[[#This Row],[Quantity]]</f>
        <v>146810</v>
      </c>
      <c r="L821" s="4">
        <f>Table1[[#This Row],[Revenue]]-(Table1[[#This Row],[Revenue]]*Table1[[#This Row],[Discount]]/100)</f>
        <v>108639.4</v>
      </c>
    </row>
    <row r="822" spans="1:12" x14ac:dyDescent="0.55000000000000004">
      <c r="A822" t="s">
        <v>851</v>
      </c>
      <c r="B822" s="2">
        <v>45164</v>
      </c>
      <c r="C822" t="s">
        <v>15</v>
      </c>
      <c r="D822" t="s">
        <v>37</v>
      </c>
      <c r="E822" t="s">
        <v>11</v>
      </c>
      <c r="F822" t="s">
        <v>29</v>
      </c>
      <c r="G822">
        <v>3705</v>
      </c>
      <c r="H822">
        <v>10</v>
      </c>
      <c r="I822">
        <v>17</v>
      </c>
      <c r="J822" t="s">
        <v>25</v>
      </c>
      <c r="K822" s="4">
        <f>Table1[[#This Row],[Sales]]*Table1[[#This Row],[Quantity]]</f>
        <v>37050</v>
      </c>
      <c r="L822" s="4">
        <f>Table1[[#This Row],[Revenue]]-(Table1[[#This Row],[Revenue]]*Table1[[#This Row],[Discount]]/100)</f>
        <v>30751.5</v>
      </c>
    </row>
    <row r="823" spans="1:12" x14ac:dyDescent="0.55000000000000004">
      <c r="A823" t="s">
        <v>852</v>
      </c>
      <c r="B823" s="2">
        <v>44986</v>
      </c>
      <c r="C823" t="s">
        <v>15</v>
      </c>
      <c r="D823" t="s">
        <v>46</v>
      </c>
      <c r="E823" t="s">
        <v>17</v>
      </c>
      <c r="F823" t="s">
        <v>44</v>
      </c>
      <c r="G823">
        <v>14803</v>
      </c>
      <c r="H823">
        <v>7</v>
      </c>
      <c r="I823">
        <v>8</v>
      </c>
      <c r="J823" t="s">
        <v>22</v>
      </c>
      <c r="K823" s="4">
        <f>Table1[[#This Row],[Sales]]*Table1[[#This Row],[Quantity]]</f>
        <v>103621</v>
      </c>
      <c r="L823" s="4">
        <f>Table1[[#This Row],[Revenue]]-(Table1[[#This Row],[Revenue]]*Table1[[#This Row],[Discount]]/100)</f>
        <v>95331.32</v>
      </c>
    </row>
    <row r="824" spans="1:12" x14ac:dyDescent="0.55000000000000004">
      <c r="A824" t="s">
        <v>853</v>
      </c>
      <c r="B824" s="2">
        <v>45044</v>
      </c>
      <c r="C824" t="s">
        <v>19</v>
      </c>
      <c r="D824" t="s">
        <v>20</v>
      </c>
      <c r="E824" t="s">
        <v>17</v>
      </c>
      <c r="F824" t="s">
        <v>48</v>
      </c>
      <c r="G824">
        <v>8462</v>
      </c>
      <c r="H824">
        <v>4</v>
      </c>
      <c r="I824">
        <v>18</v>
      </c>
      <c r="J824" t="s">
        <v>13</v>
      </c>
      <c r="K824" s="4">
        <f>Table1[[#This Row],[Sales]]*Table1[[#This Row],[Quantity]]</f>
        <v>33848</v>
      </c>
      <c r="L824" s="4">
        <f>Table1[[#This Row],[Revenue]]-(Table1[[#This Row],[Revenue]]*Table1[[#This Row],[Discount]]/100)</f>
        <v>27755.360000000001</v>
      </c>
    </row>
    <row r="825" spans="1:12" x14ac:dyDescent="0.55000000000000004">
      <c r="A825" t="s">
        <v>854</v>
      </c>
      <c r="B825" s="2">
        <v>44973</v>
      </c>
      <c r="C825" t="s">
        <v>15</v>
      </c>
      <c r="D825" t="s">
        <v>37</v>
      </c>
      <c r="E825" t="s">
        <v>11</v>
      </c>
      <c r="F825" t="s">
        <v>44</v>
      </c>
      <c r="G825">
        <v>37874</v>
      </c>
      <c r="H825">
        <v>1</v>
      </c>
      <c r="I825">
        <v>10</v>
      </c>
      <c r="J825" t="s">
        <v>13</v>
      </c>
      <c r="K825" s="4">
        <f>Table1[[#This Row],[Sales]]*Table1[[#This Row],[Quantity]]</f>
        <v>37874</v>
      </c>
      <c r="L825" s="4">
        <f>Table1[[#This Row],[Revenue]]-(Table1[[#This Row],[Revenue]]*Table1[[#This Row],[Discount]]/100)</f>
        <v>34086.6</v>
      </c>
    </row>
    <row r="826" spans="1:12" x14ac:dyDescent="0.55000000000000004">
      <c r="A826" t="s">
        <v>855</v>
      </c>
      <c r="B826" s="2">
        <v>45097</v>
      </c>
      <c r="C826" t="s">
        <v>15</v>
      </c>
      <c r="D826" t="s">
        <v>37</v>
      </c>
      <c r="E826" t="s">
        <v>17</v>
      </c>
      <c r="F826" t="s">
        <v>38</v>
      </c>
      <c r="G826">
        <v>13856</v>
      </c>
      <c r="H826">
        <v>8</v>
      </c>
      <c r="I826">
        <v>19</v>
      </c>
      <c r="J826" t="s">
        <v>22</v>
      </c>
      <c r="K826" s="4">
        <f>Table1[[#This Row],[Sales]]*Table1[[#This Row],[Quantity]]</f>
        <v>110848</v>
      </c>
      <c r="L826" s="4">
        <f>Table1[[#This Row],[Revenue]]-(Table1[[#This Row],[Revenue]]*Table1[[#This Row],[Discount]]/100)</f>
        <v>89786.880000000005</v>
      </c>
    </row>
    <row r="827" spans="1:12" x14ac:dyDescent="0.55000000000000004">
      <c r="A827" t="s">
        <v>856</v>
      </c>
      <c r="B827" s="2">
        <v>45152</v>
      </c>
      <c r="C827" t="s">
        <v>15</v>
      </c>
      <c r="D827" t="s">
        <v>46</v>
      </c>
      <c r="E827" t="s">
        <v>17</v>
      </c>
      <c r="F827" t="s">
        <v>12</v>
      </c>
      <c r="G827">
        <v>6429</v>
      </c>
      <c r="H827">
        <v>6</v>
      </c>
      <c r="I827">
        <v>22</v>
      </c>
      <c r="J827" t="s">
        <v>13</v>
      </c>
      <c r="K827" s="4">
        <f>Table1[[#This Row],[Sales]]*Table1[[#This Row],[Quantity]]</f>
        <v>38574</v>
      </c>
      <c r="L827" s="4">
        <f>Table1[[#This Row],[Revenue]]-(Table1[[#This Row],[Revenue]]*Table1[[#This Row],[Discount]]/100)</f>
        <v>30087.72</v>
      </c>
    </row>
    <row r="828" spans="1:12" x14ac:dyDescent="0.55000000000000004">
      <c r="A828" t="s">
        <v>857</v>
      </c>
      <c r="B828" s="2">
        <v>45142</v>
      </c>
      <c r="C828" t="s">
        <v>19</v>
      </c>
      <c r="D828" t="s">
        <v>27</v>
      </c>
      <c r="E828" t="s">
        <v>11</v>
      </c>
      <c r="F828" t="s">
        <v>21</v>
      </c>
      <c r="G828">
        <v>44634</v>
      </c>
      <c r="H828">
        <v>3</v>
      </c>
      <c r="I828">
        <v>13</v>
      </c>
      <c r="J828" t="s">
        <v>13</v>
      </c>
      <c r="K828" s="4">
        <f>Table1[[#This Row],[Sales]]*Table1[[#This Row],[Quantity]]</f>
        <v>133902</v>
      </c>
      <c r="L828" s="4">
        <f>Table1[[#This Row],[Revenue]]-(Table1[[#This Row],[Revenue]]*Table1[[#This Row],[Discount]]/100)</f>
        <v>116494.74</v>
      </c>
    </row>
    <row r="829" spans="1:12" x14ac:dyDescent="0.55000000000000004">
      <c r="A829" t="s">
        <v>858</v>
      </c>
      <c r="B829" s="2">
        <v>45131</v>
      </c>
      <c r="C829" t="s">
        <v>31</v>
      </c>
      <c r="D829" t="s">
        <v>37</v>
      </c>
      <c r="E829" t="s">
        <v>17</v>
      </c>
      <c r="F829" t="s">
        <v>38</v>
      </c>
      <c r="G829">
        <v>3353</v>
      </c>
      <c r="H829">
        <v>3</v>
      </c>
      <c r="I829">
        <v>25</v>
      </c>
      <c r="J829" t="s">
        <v>22</v>
      </c>
      <c r="K829" s="4">
        <f>Table1[[#This Row],[Sales]]*Table1[[#This Row],[Quantity]]</f>
        <v>10059</v>
      </c>
      <c r="L829" s="4">
        <f>Table1[[#This Row],[Revenue]]-(Table1[[#This Row],[Revenue]]*Table1[[#This Row],[Discount]]/100)</f>
        <v>7544.25</v>
      </c>
    </row>
    <row r="830" spans="1:12" x14ac:dyDescent="0.55000000000000004">
      <c r="A830" t="s">
        <v>859</v>
      </c>
      <c r="B830" s="2">
        <v>44981</v>
      </c>
      <c r="C830" t="s">
        <v>31</v>
      </c>
      <c r="D830" t="s">
        <v>27</v>
      </c>
      <c r="E830" t="s">
        <v>11</v>
      </c>
      <c r="F830" t="s">
        <v>29</v>
      </c>
      <c r="G830">
        <v>42740</v>
      </c>
      <c r="H830">
        <v>8</v>
      </c>
      <c r="I830">
        <v>3</v>
      </c>
      <c r="J830" t="s">
        <v>25</v>
      </c>
      <c r="K830" s="4">
        <f>Table1[[#This Row],[Sales]]*Table1[[#This Row],[Quantity]]</f>
        <v>341920</v>
      </c>
      <c r="L830" s="4">
        <f>Table1[[#This Row],[Revenue]]-(Table1[[#This Row],[Revenue]]*Table1[[#This Row],[Discount]]/100)</f>
        <v>331662.40000000002</v>
      </c>
    </row>
    <row r="831" spans="1:12" x14ac:dyDescent="0.55000000000000004">
      <c r="A831" t="s">
        <v>860</v>
      </c>
      <c r="B831" s="2">
        <v>45176</v>
      </c>
      <c r="C831" t="s">
        <v>19</v>
      </c>
      <c r="D831" t="s">
        <v>20</v>
      </c>
      <c r="E831" t="s">
        <v>11</v>
      </c>
      <c r="F831" t="s">
        <v>48</v>
      </c>
      <c r="G831">
        <v>44359</v>
      </c>
      <c r="H831">
        <v>1</v>
      </c>
      <c r="I831">
        <v>21</v>
      </c>
      <c r="J831" t="s">
        <v>22</v>
      </c>
      <c r="K831" s="4">
        <f>Table1[[#This Row],[Sales]]*Table1[[#This Row],[Quantity]]</f>
        <v>44359</v>
      </c>
      <c r="L831" s="4">
        <f>Table1[[#This Row],[Revenue]]-(Table1[[#This Row],[Revenue]]*Table1[[#This Row],[Discount]]/100)</f>
        <v>35043.61</v>
      </c>
    </row>
    <row r="832" spans="1:12" x14ac:dyDescent="0.55000000000000004">
      <c r="A832" t="s">
        <v>861</v>
      </c>
      <c r="B832" s="2">
        <v>45146</v>
      </c>
      <c r="C832" t="s">
        <v>19</v>
      </c>
      <c r="D832" t="s">
        <v>46</v>
      </c>
      <c r="E832" t="s">
        <v>17</v>
      </c>
      <c r="F832" t="s">
        <v>21</v>
      </c>
      <c r="G832">
        <v>47001</v>
      </c>
      <c r="H832">
        <v>1</v>
      </c>
      <c r="I832">
        <v>23</v>
      </c>
      <c r="J832" t="s">
        <v>25</v>
      </c>
      <c r="K832" s="4">
        <f>Table1[[#This Row],[Sales]]*Table1[[#This Row],[Quantity]]</f>
        <v>47001</v>
      </c>
      <c r="L832" s="4">
        <f>Table1[[#This Row],[Revenue]]-(Table1[[#This Row],[Revenue]]*Table1[[#This Row],[Discount]]/100)</f>
        <v>36190.770000000004</v>
      </c>
    </row>
    <row r="833" spans="1:12" x14ac:dyDescent="0.55000000000000004">
      <c r="A833" t="s">
        <v>862</v>
      </c>
      <c r="B833" s="2">
        <v>45140</v>
      </c>
      <c r="C833" t="s">
        <v>15</v>
      </c>
      <c r="D833" t="s">
        <v>46</v>
      </c>
      <c r="E833" t="s">
        <v>11</v>
      </c>
      <c r="F833" t="s">
        <v>38</v>
      </c>
      <c r="G833">
        <v>45329</v>
      </c>
      <c r="H833">
        <v>9</v>
      </c>
      <c r="I833">
        <v>24</v>
      </c>
      <c r="J833" t="s">
        <v>22</v>
      </c>
      <c r="K833" s="4">
        <f>Table1[[#This Row],[Sales]]*Table1[[#This Row],[Quantity]]</f>
        <v>407961</v>
      </c>
      <c r="L833" s="4">
        <f>Table1[[#This Row],[Revenue]]-(Table1[[#This Row],[Revenue]]*Table1[[#This Row],[Discount]]/100)</f>
        <v>310050.36</v>
      </c>
    </row>
    <row r="834" spans="1:12" x14ac:dyDescent="0.55000000000000004">
      <c r="A834" t="s">
        <v>863</v>
      </c>
      <c r="B834" s="2">
        <v>45045</v>
      </c>
      <c r="C834" t="s">
        <v>15</v>
      </c>
      <c r="D834" t="s">
        <v>37</v>
      </c>
      <c r="E834" t="s">
        <v>17</v>
      </c>
      <c r="F834" t="s">
        <v>34</v>
      </c>
      <c r="G834">
        <v>8055</v>
      </c>
      <c r="H834">
        <v>4</v>
      </c>
      <c r="I834">
        <v>25</v>
      </c>
      <c r="J834" t="s">
        <v>25</v>
      </c>
      <c r="K834" s="4">
        <f>Table1[[#This Row],[Sales]]*Table1[[#This Row],[Quantity]]</f>
        <v>32220</v>
      </c>
      <c r="L834" s="4">
        <f>Table1[[#This Row],[Revenue]]-(Table1[[#This Row],[Revenue]]*Table1[[#This Row],[Discount]]/100)</f>
        <v>24165</v>
      </c>
    </row>
    <row r="835" spans="1:12" x14ac:dyDescent="0.55000000000000004">
      <c r="A835" t="s">
        <v>864</v>
      </c>
      <c r="B835" s="2">
        <v>45128</v>
      </c>
      <c r="C835" t="s">
        <v>19</v>
      </c>
      <c r="D835" t="s">
        <v>46</v>
      </c>
      <c r="E835" t="s">
        <v>11</v>
      </c>
      <c r="F835" t="s">
        <v>34</v>
      </c>
      <c r="G835">
        <v>32812</v>
      </c>
      <c r="H835">
        <v>3</v>
      </c>
      <c r="I835">
        <v>9</v>
      </c>
      <c r="J835" t="s">
        <v>22</v>
      </c>
      <c r="K835" s="4">
        <f>Table1[[#This Row],[Sales]]*Table1[[#This Row],[Quantity]]</f>
        <v>98436</v>
      </c>
      <c r="L835" s="4">
        <f>Table1[[#This Row],[Revenue]]-(Table1[[#This Row],[Revenue]]*Table1[[#This Row],[Discount]]/100)</f>
        <v>89576.76</v>
      </c>
    </row>
    <row r="836" spans="1:12" x14ac:dyDescent="0.55000000000000004">
      <c r="A836" t="s">
        <v>865</v>
      </c>
      <c r="B836" s="2">
        <v>45168</v>
      </c>
      <c r="C836" t="s">
        <v>19</v>
      </c>
      <c r="D836" t="s">
        <v>20</v>
      </c>
      <c r="E836" t="s">
        <v>11</v>
      </c>
      <c r="F836" t="s">
        <v>12</v>
      </c>
      <c r="G836">
        <v>25752</v>
      </c>
      <c r="H836">
        <v>8</v>
      </c>
      <c r="I836">
        <v>14</v>
      </c>
      <c r="J836" t="s">
        <v>25</v>
      </c>
      <c r="K836" s="4">
        <f>Table1[[#This Row],[Sales]]*Table1[[#This Row],[Quantity]]</f>
        <v>206016</v>
      </c>
      <c r="L836" s="4">
        <f>Table1[[#This Row],[Revenue]]-(Table1[[#This Row],[Revenue]]*Table1[[#This Row],[Discount]]/100)</f>
        <v>177173.76000000001</v>
      </c>
    </row>
    <row r="837" spans="1:12" x14ac:dyDescent="0.55000000000000004">
      <c r="A837" t="s">
        <v>866</v>
      </c>
      <c r="B837" s="2">
        <v>45122</v>
      </c>
      <c r="C837" t="s">
        <v>24</v>
      </c>
      <c r="D837" t="s">
        <v>27</v>
      </c>
      <c r="E837" t="s">
        <v>11</v>
      </c>
      <c r="F837" t="s">
        <v>38</v>
      </c>
      <c r="G837">
        <v>25450</v>
      </c>
      <c r="H837">
        <v>2</v>
      </c>
      <c r="I837">
        <v>16</v>
      </c>
      <c r="J837" t="s">
        <v>13</v>
      </c>
      <c r="K837" s="4">
        <f>Table1[[#This Row],[Sales]]*Table1[[#This Row],[Quantity]]</f>
        <v>50900</v>
      </c>
      <c r="L837" s="4">
        <f>Table1[[#This Row],[Revenue]]-(Table1[[#This Row],[Revenue]]*Table1[[#This Row],[Discount]]/100)</f>
        <v>42756</v>
      </c>
    </row>
    <row r="838" spans="1:12" x14ac:dyDescent="0.55000000000000004">
      <c r="A838" t="s">
        <v>867</v>
      </c>
      <c r="B838" s="2">
        <v>45110</v>
      </c>
      <c r="C838" t="s">
        <v>19</v>
      </c>
      <c r="D838" t="s">
        <v>46</v>
      </c>
      <c r="E838" t="s">
        <v>11</v>
      </c>
      <c r="F838" t="s">
        <v>44</v>
      </c>
      <c r="G838">
        <v>39111</v>
      </c>
      <c r="H838">
        <v>8</v>
      </c>
      <c r="I838">
        <v>8</v>
      </c>
      <c r="J838" t="s">
        <v>22</v>
      </c>
      <c r="K838" s="4">
        <f>Table1[[#This Row],[Sales]]*Table1[[#This Row],[Quantity]]</f>
        <v>312888</v>
      </c>
      <c r="L838" s="4">
        <f>Table1[[#This Row],[Revenue]]-(Table1[[#This Row],[Revenue]]*Table1[[#This Row],[Discount]]/100)</f>
        <v>287856.96000000002</v>
      </c>
    </row>
    <row r="839" spans="1:12" x14ac:dyDescent="0.55000000000000004">
      <c r="A839" t="s">
        <v>868</v>
      </c>
      <c r="B839" s="2">
        <v>45167</v>
      </c>
      <c r="C839" t="s">
        <v>19</v>
      </c>
      <c r="D839" t="s">
        <v>46</v>
      </c>
      <c r="E839" t="s">
        <v>11</v>
      </c>
      <c r="F839" t="s">
        <v>38</v>
      </c>
      <c r="G839">
        <v>16856</v>
      </c>
      <c r="H839">
        <v>5</v>
      </c>
      <c r="I839">
        <v>8</v>
      </c>
      <c r="J839" t="s">
        <v>13</v>
      </c>
      <c r="K839" s="4">
        <f>Table1[[#This Row],[Sales]]*Table1[[#This Row],[Quantity]]</f>
        <v>84280</v>
      </c>
      <c r="L839" s="4">
        <f>Table1[[#This Row],[Revenue]]-(Table1[[#This Row],[Revenue]]*Table1[[#This Row],[Discount]]/100)</f>
        <v>77537.600000000006</v>
      </c>
    </row>
    <row r="840" spans="1:12" x14ac:dyDescent="0.55000000000000004">
      <c r="A840" t="s">
        <v>869</v>
      </c>
      <c r="B840" s="2">
        <v>45201</v>
      </c>
      <c r="C840" t="s">
        <v>19</v>
      </c>
      <c r="D840" t="s">
        <v>46</v>
      </c>
      <c r="E840" t="s">
        <v>17</v>
      </c>
      <c r="F840" t="s">
        <v>21</v>
      </c>
      <c r="G840">
        <v>45375</v>
      </c>
      <c r="H840">
        <v>6</v>
      </c>
      <c r="I840">
        <v>4</v>
      </c>
      <c r="J840" t="s">
        <v>22</v>
      </c>
      <c r="K840" s="4">
        <f>Table1[[#This Row],[Sales]]*Table1[[#This Row],[Quantity]]</f>
        <v>272250</v>
      </c>
      <c r="L840" s="4">
        <f>Table1[[#This Row],[Revenue]]-(Table1[[#This Row],[Revenue]]*Table1[[#This Row],[Discount]]/100)</f>
        <v>261360</v>
      </c>
    </row>
    <row r="841" spans="1:12" x14ac:dyDescent="0.55000000000000004">
      <c r="A841" t="s">
        <v>870</v>
      </c>
      <c r="B841" s="2">
        <v>44951</v>
      </c>
      <c r="C841" t="s">
        <v>15</v>
      </c>
      <c r="D841" t="s">
        <v>20</v>
      </c>
      <c r="E841" t="s">
        <v>11</v>
      </c>
      <c r="F841" t="s">
        <v>12</v>
      </c>
      <c r="G841">
        <v>41529</v>
      </c>
      <c r="H841">
        <v>6</v>
      </c>
      <c r="I841">
        <v>11</v>
      </c>
      <c r="J841" t="s">
        <v>25</v>
      </c>
      <c r="K841" s="4">
        <f>Table1[[#This Row],[Sales]]*Table1[[#This Row],[Quantity]]</f>
        <v>249174</v>
      </c>
      <c r="L841" s="4">
        <f>Table1[[#This Row],[Revenue]]-(Table1[[#This Row],[Revenue]]*Table1[[#This Row],[Discount]]/100)</f>
        <v>221764.86</v>
      </c>
    </row>
    <row r="842" spans="1:12" x14ac:dyDescent="0.55000000000000004">
      <c r="A842" t="s">
        <v>871</v>
      </c>
      <c r="B842" s="2">
        <v>45046</v>
      </c>
      <c r="C842" t="s">
        <v>15</v>
      </c>
      <c r="D842" t="s">
        <v>27</v>
      </c>
      <c r="E842" t="s">
        <v>17</v>
      </c>
      <c r="F842" t="s">
        <v>34</v>
      </c>
      <c r="G842">
        <v>33292</v>
      </c>
      <c r="H842">
        <v>8</v>
      </c>
      <c r="I842">
        <v>15</v>
      </c>
      <c r="J842" t="s">
        <v>25</v>
      </c>
      <c r="K842" s="4">
        <f>Table1[[#This Row],[Sales]]*Table1[[#This Row],[Quantity]]</f>
        <v>266336</v>
      </c>
      <c r="L842" s="4">
        <f>Table1[[#This Row],[Revenue]]-(Table1[[#This Row],[Revenue]]*Table1[[#This Row],[Discount]]/100)</f>
        <v>226385.6</v>
      </c>
    </row>
    <row r="843" spans="1:12" x14ac:dyDescent="0.55000000000000004">
      <c r="A843" t="s">
        <v>872</v>
      </c>
      <c r="B843" s="2">
        <v>44972</v>
      </c>
      <c r="C843" t="s">
        <v>31</v>
      </c>
      <c r="D843" t="s">
        <v>46</v>
      </c>
      <c r="E843" t="s">
        <v>11</v>
      </c>
      <c r="F843" t="s">
        <v>38</v>
      </c>
      <c r="G843">
        <v>19581</v>
      </c>
      <c r="H843">
        <v>4</v>
      </c>
      <c r="I843">
        <v>30</v>
      </c>
      <c r="J843" t="s">
        <v>22</v>
      </c>
      <c r="K843" s="4">
        <f>Table1[[#This Row],[Sales]]*Table1[[#This Row],[Quantity]]</f>
        <v>78324</v>
      </c>
      <c r="L843" s="4">
        <f>Table1[[#This Row],[Revenue]]-(Table1[[#This Row],[Revenue]]*Table1[[#This Row],[Discount]]/100)</f>
        <v>54826.8</v>
      </c>
    </row>
    <row r="844" spans="1:12" x14ac:dyDescent="0.55000000000000004">
      <c r="A844" t="s">
        <v>873</v>
      </c>
      <c r="B844" s="2">
        <v>45227</v>
      </c>
      <c r="C844" t="s">
        <v>15</v>
      </c>
      <c r="D844" t="s">
        <v>16</v>
      </c>
      <c r="E844" t="s">
        <v>17</v>
      </c>
      <c r="F844" t="s">
        <v>12</v>
      </c>
      <c r="G844">
        <v>9954</v>
      </c>
      <c r="H844">
        <v>6</v>
      </c>
      <c r="I844">
        <v>9</v>
      </c>
      <c r="J844" t="s">
        <v>22</v>
      </c>
      <c r="K844" s="4">
        <f>Table1[[#This Row],[Sales]]*Table1[[#This Row],[Quantity]]</f>
        <v>59724</v>
      </c>
      <c r="L844" s="4">
        <f>Table1[[#This Row],[Revenue]]-(Table1[[#This Row],[Revenue]]*Table1[[#This Row],[Discount]]/100)</f>
        <v>54348.84</v>
      </c>
    </row>
    <row r="845" spans="1:12" x14ac:dyDescent="0.55000000000000004">
      <c r="A845" t="s">
        <v>874</v>
      </c>
      <c r="B845" s="2">
        <v>45182</v>
      </c>
      <c r="C845" t="s">
        <v>15</v>
      </c>
      <c r="D845" t="s">
        <v>46</v>
      </c>
      <c r="E845" t="s">
        <v>11</v>
      </c>
      <c r="F845" t="s">
        <v>12</v>
      </c>
      <c r="G845">
        <v>31834</v>
      </c>
      <c r="H845">
        <v>10</v>
      </c>
      <c r="I845">
        <v>23</v>
      </c>
      <c r="J845" t="s">
        <v>25</v>
      </c>
      <c r="K845" s="4">
        <f>Table1[[#This Row],[Sales]]*Table1[[#This Row],[Quantity]]</f>
        <v>318340</v>
      </c>
      <c r="L845" s="4">
        <f>Table1[[#This Row],[Revenue]]-(Table1[[#This Row],[Revenue]]*Table1[[#This Row],[Discount]]/100)</f>
        <v>245121.8</v>
      </c>
    </row>
    <row r="846" spans="1:12" x14ac:dyDescent="0.55000000000000004">
      <c r="A846" t="s">
        <v>875</v>
      </c>
      <c r="B846" s="2">
        <v>45173</v>
      </c>
      <c r="C846" t="s">
        <v>31</v>
      </c>
      <c r="D846" t="s">
        <v>16</v>
      </c>
      <c r="E846" t="s">
        <v>11</v>
      </c>
      <c r="F846" t="s">
        <v>38</v>
      </c>
      <c r="G846">
        <v>47346</v>
      </c>
      <c r="H846">
        <v>5</v>
      </c>
      <c r="I846">
        <v>29</v>
      </c>
      <c r="J846" t="s">
        <v>13</v>
      </c>
      <c r="K846" s="4">
        <f>Table1[[#This Row],[Sales]]*Table1[[#This Row],[Quantity]]</f>
        <v>236730</v>
      </c>
      <c r="L846" s="4">
        <f>Table1[[#This Row],[Revenue]]-(Table1[[#This Row],[Revenue]]*Table1[[#This Row],[Discount]]/100)</f>
        <v>168078.3</v>
      </c>
    </row>
    <row r="847" spans="1:12" x14ac:dyDescent="0.55000000000000004">
      <c r="A847" t="s">
        <v>876</v>
      </c>
      <c r="B847" s="2">
        <v>45259</v>
      </c>
      <c r="C847" t="s">
        <v>19</v>
      </c>
      <c r="D847" t="s">
        <v>27</v>
      </c>
      <c r="E847" t="s">
        <v>17</v>
      </c>
      <c r="F847" t="s">
        <v>44</v>
      </c>
      <c r="G847">
        <v>42414</v>
      </c>
      <c r="H847">
        <v>4</v>
      </c>
      <c r="I847">
        <v>0</v>
      </c>
      <c r="J847" t="s">
        <v>13</v>
      </c>
      <c r="K847" s="4">
        <f>Table1[[#This Row],[Sales]]*Table1[[#This Row],[Quantity]]</f>
        <v>169656</v>
      </c>
      <c r="L847" s="4">
        <f>Table1[[#This Row],[Revenue]]-(Table1[[#This Row],[Revenue]]*Table1[[#This Row],[Discount]]/100)</f>
        <v>169656</v>
      </c>
    </row>
    <row r="848" spans="1:12" x14ac:dyDescent="0.55000000000000004">
      <c r="A848" t="s">
        <v>877</v>
      </c>
      <c r="B848" s="2">
        <v>45197</v>
      </c>
      <c r="C848" t="s">
        <v>19</v>
      </c>
      <c r="D848" t="s">
        <v>27</v>
      </c>
      <c r="E848" t="s">
        <v>11</v>
      </c>
      <c r="F848" t="s">
        <v>29</v>
      </c>
      <c r="G848">
        <v>2276</v>
      </c>
      <c r="H848">
        <v>1</v>
      </c>
      <c r="I848">
        <v>10</v>
      </c>
      <c r="J848" t="s">
        <v>25</v>
      </c>
      <c r="K848" s="4">
        <f>Table1[[#This Row],[Sales]]*Table1[[#This Row],[Quantity]]</f>
        <v>2276</v>
      </c>
      <c r="L848" s="4">
        <f>Table1[[#This Row],[Revenue]]-(Table1[[#This Row],[Revenue]]*Table1[[#This Row],[Discount]]/100)</f>
        <v>2048.4</v>
      </c>
    </row>
    <row r="849" spans="1:12" x14ac:dyDescent="0.55000000000000004">
      <c r="A849" t="s">
        <v>878</v>
      </c>
      <c r="B849" s="2">
        <v>45080</v>
      </c>
      <c r="C849" t="s">
        <v>19</v>
      </c>
      <c r="D849" t="s">
        <v>27</v>
      </c>
      <c r="E849" t="s">
        <v>17</v>
      </c>
      <c r="F849" t="s">
        <v>44</v>
      </c>
      <c r="G849">
        <v>43739</v>
      </c>
      <c r="H849">
        <v>8</v>
      </c>
      <c r="I849">
        <v>10</v>
      </c>
      <c r="J849" t="s">
        <v>22</v>
      </c>
      <c r="K849" s="4">
        <f>Table1[[#This Row],[Sales]]*Table1[[#This Row],[Quantity]]</f>
        <v>349912</v>
      </c>
      <c r="L849" s="4">
        <f>Table1[[#This Row],[Revenue]]-(Table1[[#This Row],[Revenue]]*Table1[[#This Row],[Discount]]/100)</f>
        <v>314920.8</v>
      </c>
    </row>
    <row r="850" spans="1:12" x14ac:dyDescent="0.55000000000000004">
      <c r="A850" t="s">
        <v>879</v>
      </c>
      <c r="B850" s="2">
        <v>45117</v>
      </c>
      <c r="C850" t="s">
        <v>15</v>
      </c>
      <c r="D850" t="s">
        <v>46</v>
      </c>
      <c r="E850" t="s">
        <v>17</v>
      </c>
      <c r="F850" t="s">
        <v>38</v>
      </c>
      <c r="G850">
        <v>6913</v>
      </c>
      <c r="H850">
        <v>1</v>
      </c>
      <c r="I850">
        <v>18</v>
      </c>
      <c r="J850" t="s">
        <v>13</v>
      </c>
      <c r="K850" s="4">
        <f>Table1[[#This Row],[Sales]]*Table1[[#This Row],[Quantity]]</f>
        <v>6913</v>
      </c>
      <c r="L850" s="4">
        <f>Table1[[#This Row],[Revenue]]-(Table1[[#This Row],[Revenue]]*Table1[[#This Row],[Discount]]/100)</f>
        <v>5668.66</v>
      </c>
    </row>
    <row r="851" spans="1:12" x14ac:dyDescent="0.55000000000000004">
      <c r="A851" t="s">
        <v>880</v>
      </c>
      <c r="B851" s="2">
        <v>45069</v>
      </c>
      <c r="C851" t="s">
        <v>15</v>
      </c>
      <c r="D851" t="s">
        <v>46</v>
      </c>
      <c r="E851" t="s">
        <v>17</v>
      </c>
      <c r="F851" t="s">
        <v>38</v>
      </c>
      <c r="G851">
        <v>38926</v>
      </c>
      <c r="H851">
        <v>2</v>
      </c>
      <c r="I851">
        <v>10</v>
      </c>
      <c r="J851" t="s">
        <v>25</v>
      </c>
      <c r="K851" s="4">
        <f>Table1[[#This Row],[Sales]]*Table1[[#This Row],[Quantity]]</f>
        <v>77852</v>
      </c>
      <c r="L851" s="4">
        <f>Table1[[#This Row],[Revenue]]-(Table1[[#This Row],[Revenue]]*Table1[[#This Row],[Discount]]/100)</f>
        <v>70066.8</v>
      </c>
    </row>
    <row r="852" spans="1:12" x14ac:dyDescent="0.55000000000000004">
      <c r="A852" t="s">
        <v>881</v>
      </c>
      <c r="B852" s="2">
        <v>44960</v>
      </c>
      <c r="C852" t="s">
        <v>15</v>
      </c>
      <c r="D852" t="s">
        <v>16</v>
      </c>
      <c r="E852" t="s">
        <v>17</v>
      </c>
      <c r="F852" t="s">
        <v>38</v>
      </c>
      <c r="G852">
        <v>24414</v>
      </c>
      <c r="H852">
        <v>3</v>
      </c>
      <c r="I852">
        <v>27</v>
      </c>
      <c r="J852" t="s">
        <v>13</v>
      </c>
      <c r="K852" s="4">
        <f>Table1[[#This Row],[Sales]]*Table1[[#This Row],[Quantity]]</f>
        <v>73242</v>
      </c>
      <c r="L852" s="4">
        <f>Table1[[#This Row],[Revenue]]-(Table1[[#This Row],[Revenue]]*Table1[[#This Row],[Discount]]/100)</f>
        <v>53466.66</v>
      </c>
    </row>
    <row r="853" spans="1:12" x14ac:dyDescent="0.55000000000000004">
      <c r="A853" t="s">
        <v>882</v>
      </c>
      <c r="B853" s="2">
        <v>45064</v>
      </c>
      <c r="C853" t="s">
        <v>24</v>
      </c>
      <c r="D853" t="s">
        <v>46</v>
      </c>
      <c r="E853" t="s">
        <v>11</v>
      </c>
      <c r="F853" t="s">
        <v>21</v>
      </c>
      <c r="G853">
        <v>42877</v>
      </c>
      <c r="H853">
        <v>8</v>
      </c>
      <c r="I853">
        <v>9</v>
      </c>
      <c r="J853" t="s">
        <v>22</v>
      </c>
      <c r="K853" s="4">
        <f>Table1[[#This Row],[Sales]]*Table1[[#This Row],[Quantity]]</f>
        <v>343016</v>
      </c>
      <c r="L853" s="4">
        <f>Table1[[#This Row],[Revenue]]-(Table1[[#This Row],[Revenue]]*Table1[[#This Row],[Discount]]/100)</f>
        <v>312144.56</v>
      </c>
    </row>
    <row r="854" spans="1:12" x14ac:dyDescent="0.55000000000000004">
      <c r="A854" t="s">
        <v>883</v>
      </c>
      <c r="B854" s="2">
        <v>45289</v>
      </c>
      <c r="C854" t="s">
        <v>24</v>
      </c>
      <c r="D854" t="s">
        <v>20</v>
      </c>
      <c r="E854" t="s">
        <v>17</v>
      </c>
      <c r="F854" t="s">
        <v>21</v>
      </c>
      <c r="G854">
        <v>39049</v>
      </c>
      <c r="H854">
        <v>10</v>
      </c>
      <c r="I854">
        <v>1</v>
      </c>
      <c r="J854" t="s">
        <v>13</v>
      </c>
      <c r="K854" s="4">
        <f>Table1[[#This Row],[Sales]]*Table1[[#This Row],[Quantity]]</f>
        <v>390490</v>
      </c>
      <c r="L854" s="4">
        <f>Table1[[#This Row],[Revenue]]-(Table1[[#This Row],[Revenue]]*Table1[[#This Row],[Discount]]/100)</f>
        <v>386585.1</v>
      </c>
    </row>
    <row r="855" spans="1:12" x14ac:dyDescent="0.55000000000000004">
      <c r="A855" t="s">
        <v>884</v>
      </c>
      <c r="B855" s="2">
        <v>45009</v>
      </c>
      <c r="C855" t="s">
        <v>31</v>
      </c>
      <c r="D855" t="s">
        <v>20</v>
      </c>
      <c r="E855" t="s">
        <v>11</v>
      </c>
      <c r="F855" t="s">
        <v>38</v>
      </c>
      <c r="G855">
        <v>24829</v>
      </c>
      <c r="H855">
        <v>3</v>
      </c>
      <c r="I855">
        <v>5</v>
      </c>
      <c r="J855" t="s">
        <v>25</v>
      </c>
      <c r="K855" s="4">
        <f>Table1[[#This Row],[Sales]]*Table1[[#This Row],[Quantity]]</f>
        <v>74487</v>
      </c>
      <c r="L855" s="4">
        <f>Table1[[#This Row],[Revenue]]-(Table1[[#This Row],[Revenue]]*Table1[[#This Row],[Discount]]/100)</f>
        <v>70762.649999999994</v>
      </c>
    </row>
    <row r="856" spans="1:12" x14ac:dyDescent="0.55000000000000004">
      <c r="A856" t="s">
        <v>885</v>
      </c>
      <c r="B856" s="2">
        <v>45010</v>
      </c>
      <c r="C856" t="s">
        <v>31</v>
      </c>
      <c r="D856" t="s">
        <v>27</v>
      </c>
      <c r="E856" t="s">
        <v>11</v>
      </c>
      <c r="F856" t="s">
        <v>34</v>
      </c>
      <c r="G856">
        <v>3234</v>
      </c>
      <c r="H856">
        <v>9</v>
      </c>
      <c r="I856">
        <v>29</v>
      </c>
      <c r="J856" t="s">
        <v>22</v>
      </c>
      <c r="K856" s="4">
        <f>Table1[[#This Row],[Sales]]*Table1[[#This Row],[Quantity]]</f>
        <v>29106</v>
      </c>
      <c r="L856" s="4">
        <f>Table1[[#This Row],[Revenue]]-(Table1[[#This Row],[Revenue]]*Table1[[#This Row],[Discount]]/100)</f>
        <v>20665.260000000002</v>
      </c>
    </row>
    <row r="857" spans="1:12" x14ac:dyDescent="0.55000000000000004">
      <c r="A857" t="s">
        <v>886</v>
      </c>
      <c r="B857" s="2">
        <v>45001</v>
      </c>
      <c r="C857" t="s">
        <v>31</v>
      </c>
      <c r="D857" t="s">
        <v>37</v>
      </c>
      <c r="E857" t="s">
        <v>11</v>
      </c>
      <c r="F857" t="s">
        <v>21</v>
      </c>
      <c r="G857">
        <v>35152</v>
      </c>
      <c r="H857">
        <v>5</v>
      </c>
      <c r="I857">
        <v>2</v>
      </c>
      <c r="J857" t="s">
        <v>25</v>
      </c>
      <c r="K857" s="4">
        <f>Table1[[#This Row],[Sales]]*Table1[[#This Row],[Quantity]]</f>
        <v>175760</v>
      </c>
      <c r="L857" s="4">
        <f>Table1[[#This Row],[Revenue]]-(Table1[[#This Row],[Revenue]]*Table1[[#This Row],[Discount]]/100)</f>
        <v>172244.8</v>
      </c>
    </row>
    <row r="858" spans="1:12" x14ac:dyDescent="0.55000000000000004">
      <c r="A858" t="s">
        <v>887</v>
      </c>
      <c r="B858" s="2">
        <v>45226</v>
      </c>
      <c r="C858" t="s">
        <v>19</v>
      </c>
      <c r="D858" t="s">
        <v>16</v>
      </c>
      <c r="E858" t="s">
        <v>17</v>
      </c>
      <c r="F858" t="s">
        <v>44</v>
      </c>
      <c r="G858">
        <v>46205</v>
      </c>
      <c r="H858">
        <v>1</v>
      </c>
      <c r="I858">
        <v>18</v>
      </c>
      <c r="J858" t="s">
        <v>25</v>
      </c>
      <c r="K858" s="4">
        <f>Table1[[#This Row],[Sales]]*Table1[[#This Row],[Quantity]]</f>
        <v>46205</v>
      </c>
      <c r="L858" s="4">
        <f>Table1[[#This Row],[Revenue]]-(Table1[[#This Row],[Revenue]]*Table1[[#This Row],[Discount]]/100)</f>
        <v>37888.1</v>
      </c>
    </row>
    <row r="859" spans="1:12" x14ac:dyDescent="0.55000000000000004">
      <c r="A859" t="s">
        <v>888</v>
      </c>
      <c r="B859" s="2">
        <v>45174</v>
      </c>
      <c r="C859" t="s">
        <v>31</v>
      </c>
      <c r="D859" t="s">
        <v>20</v>
      </c>
      <c r="E859" t="s">
        <v>17</v>
      </c>
      <c r="F859" t="s">
        <v>38</v>
      </c>
      <c r="G859">
        <v>49795</v>
      </c>
      <c r="H859">
        <v>6</v>
      </c>
      <c r="I859">
        <v>1</v>
      </c>
      <c r="J859" t="s">
        <v>25</v>
      </c>
      <c r="K859" s="4">
        <f>Table1[[#This Row],[Sales]]*Table1[[#This Row],[Quantity]]</f>
        <v>298770</v>
      </c>
      <c r="L859" s="4">
        <f>Table1[[#This Row],[Revenue]]-(Table1[[#This Row],[Revenue]]*Table1[[#This Row],[Discount]]/100)</f>
        <v>295782.3</v>
      </c>
    </row>
    <row r="860" spans="1:12" x14ac:dyDescent="0.55000000000000004">
      <c r="A860" t="s">
        <v>889</v>
      </c>
      <c r="B860" s="2">
        <v>45057</v>
      </c>
      <c r="C860" t="s">
        <v>15</v>
      </c>
      <c r="D860" t="s">
        <v>27</v>
      </c>
      <c r="E860" t="s">
        <v>17</v>
      </c>
      <c r="F860" t="s">
        <v>44</v>
      </c>
      <c r="G860">
        <v>19828</v>
      </c>
      <c r="H860">
        <v>9</v>
      </c>
      <c r="I860">
        <v>12</v>
      </c>
      <c r="J860" t="s">
        <v>22</v>
      </c>
      <c r="K860" s="4">
        <f>Table1[[#This Row],[Sales]]*Table1[[#This Row],[Quantity]]</f>
        <v>178452</v>
      </c>
      <c r="L860" s="4">
        <f>Table1[[#This Row],[Revenue]]-(Table1[[#This Row],[Revenue]]*Table1[[#This Row],[Discount]]/100)</f>
        <v>157037.76000000001</v>
      </c>
    </row>
    <row r="861" spans="1:12" x14ac:dyDescent="0.55000000000000004">
      <c r="A861" t="s">
        <v>890</v>
      </c>
      <c r="B861" s="2">
        <v>45231</v>
      </c>
      <c r="C861" t="s">
        <v>31</v>
      </c>
      <c r="D861" t="s">
        <v>37</v>
      </c>
      <c r="E861" t="s">
        <v>11</v>
      </c>
      <c r="F861" t="s">
        <v>48</v>
      </c>
      <c r="G861">
        <v>22473</v>
      </c>
      <c r="H861">
        <v>10</v>
      </c>
      <c r="I861">
        <v>29</v>
      </c>
      <c r="J861" t="s">
        <v>13</v>
      </c>
      <c r="K861" s="4">
        <f>Table1[[#This Row],[Sales]]*Table1[[#This Row],[Quantity]]</f>
        <v>224730</v>
      </c>
      <c r="L861" s="4">
        <f>Table1[[#This Row],[Revenue]]-(Table1[[#This Row],[Revenue]]*Table1[[#This Row],[Discount]]/100)</f>
        <v>159558.29999999999</v>
      </c>
    </row>
    <row r="862" spans="1:12" x14ac:dyDescent="0.55000000000000004">
      <c r="A862" t="s">
        <v>891</v>
      </c>
      <c r="B862" s="2">
        <v>45219</v>
      </c>
      <c r="C862" t="s">
        <v>15</v>
      </c>
      <c r="D862" t="s">
        <v>16</v>
      </c>
      <c r="E862" t="s">
        <v>17</v>
      </c>
      <c r="F862" t="s">
        <v>12</v>
      </c>
      <c r="G862">
        <v>8259</v>
      </c>
      <c r="H862">
        <v>8</v>
      </c>
      <c r="I862">
        <v>5</v>
      </c>
      <c r="J862" t="s">
        <v>13</v>
      </c>
      <c r="K862" s="4">
        <f>Table1[[#This Row],[Sales]]*Table1[[#This Row],[Quantity]]</f>
        <v>66072</v>
      </c>
      <c r="L862" s="4">
        <f>Table1[[#This Row],[Revenue]]-(Table1[[#This Row],[Revenue]]*Table1[[#This Row],[Discount]]/100)</f>
        <v>62768.4</v>
      </c>
    </row>
    <row r="863" spans="1:12" x14ac:dyDescent="0.55000000000000004">
      <c r="A863" t="s">
        <v>892</v>
      </c>
      <c r="B863" s="2">
        <v>45028</v>
      </c>
      <c r="C863" t="s">
        <v>19</v>
      </c>
      <c r="D863" t="s">
        <v>20</v>
      </c>
      <c r="E863" t="s">
        <v>11</v>
      </c>
      <c r="F863" t="s">
        <v>34</v>
      </c>
      <c r="G863">
        <v>26264</v>
      </c>
      <c r="H863">
        <v>10</v>
      </c>
      <c r="I863">
        <v>25</v>
      </c>
      <c r="J863" t="s">
        <v>13</v>
      </c>
      <c r="K863" s="4">
        <f>Table1[[#This Row],[Sales]]*Table1[[#This Row],[Quantity]]</f>
        <v>262640</v>
      </c>
      <c r="L863" s="4">
        <f>Table1[[#This Row],[Revenue]]-(Table1[[#This Row],[Revenue]]*Table1[[#This Row],[Discount]]/100)</f>
        <v>196980</v>
      </c>
    </row>
    <row r="864" spans="1:12" x14ac:dyDescent="0.55000000000000004">
      <c r="A864" t="s">
        <v>893</v>
      </c>
      <c r="B864" s="2">
        <v>45283</v>
      </c>
      <c r="C864" t="s">
        <v>15</v>
      </c>
      <c r="D864" t="s">
        <v>27</v>
      </c>
      <c r="E864" t="s">
        <v>17</v>
      </c>
      <c r="F864" t="s">
        <v>38</v>
      </c>
      <c r="G864">
        <v>11904</v>
      </c>
      <c r="H864">
        <v>6</v>
      </c>
      <c r="I864">
        <v>20</v>
      </c>
      <c r="J864" t="s">
        <v>25</v>
      </c>
      <c r="K864" s="4">
        <f>Table1[[#This Row],[Sales]]*Table1[[#This Row],[Quantity]]</f>
        <v>71424</v>
      </c>
      <c r="L864" s="4">
        <f>Table1[[#This Row],[Revenue]]-(Table1[[#This Row],[Revenue]]*Table1[[#This Row],[Discount]]/100)</f>
        <v>57139.199999999997</v>
      </c>
    </row>
    <row r="865" spans="1:12" x14ac:dyDescent="0.55000000000000004">
      <c r="A865" t="s">
        <v>894</v>
      </c>
      <c r="B865" s="2">
        <v>45058</v>
      </c>
      <c r="C865" t="s">
        <v>24</v>
      </c>
      <c r="D865" t="s">
        <v>20</v>
      </c>
      <c r="E865" t="s">
        <v>11</v>
      </c>
      <c r="F865" t="s">
        <v>48</v>
      </c>
      <c r="G865">
        <v>14877</v>
      </c>
      <c r="H865">
        <v>7</v>
      </c>
      <c r="I865">
        <v>24</v>
      </c>
      <c r="J865" t="s">
        <v>13</v>
      </c>
      <c r="K865" s="4">
        <f>Table1[[#This Row],[Sales]]*Table1[[#This Row],[Quantity]]</f>
        <v>104139</v>
      </c>
      <c r="L865" s="4">
        <f>Table1[[#This Row],[Revenue]]-(Table1[[#This Row],[Revenue]]*Table1[[#This Row],[Discount]]/100)</f>
        <v>79145.64</v>
      </c>
    </row>
    <row r="866" spans="1:12" x14ac:dyDescent="0.55000000000000004">
      <c r="A866" t="s">
        <v>895</v>
      </c>
      <c r="B866" s="2">
        <v>45134</v>
      </c>
      <c r="C866" t="s">
        <v>24</v>
      </c>
      <c r="D866" t="s">
        <v>37</v>
      </c>
      <c r="E866" t="s">
        <v>11</v>
      </c>
      <c r="F866" t="s">
        <v>38</v>
      </c>
      <c r="G866">
        <v>35270</v>
      </c>
      <c r="H866">
        <v>1</v>
      </c>
      <c r="I866">
        <v>30</v>
      </c>
      <c r="J866" t="s">
        <v>25</v>
      </c>
      <c r="K866" s="4">
        <f>Table1[[#This Row],[Sales]]*Table1[[#This Row],[Quantity]]</f>
        <v>35270</v>
      </c>
      <c r="L866" s="4">
        <f>Table1[[#This Row],[Revenue]]-(Table1[[#This Row],[Revenue]]*Table1[[#This Row],[Discount]]/100)</f>
        <v>24689</v>
      </c>
    </row>
    <row r="867" spans="1:12" x14ac:dyDescent="0.55000000000000004">
      <c r="A867" t="s">
        <v>896</v>
      </c>
      <c r="B867" s="2">
        <v>45178</v>
      </c>
      <c r="C867" t="s">
        <v>31</v>
      </c>
      <c r="D867" t="s">
        <v>37</v>
      </c>
      <c r="E867" t="s">
        <v>11</v>
      </c>
      <c r="F867" t="s">
        <v>48</v>
      </c>
      <c r="G867">
        <v>41953</v>
      </c>
      <c r="H867">
        <v>2</v>
      </c>
      <c r="I867">
        <v>9</v>
      </c>
      <c r="J867" t="s">
        <v>25</v>
      </c>
      <c r="K867" s="4">
        <f>Table1[[#This Row],[Sales]]*Table1[[#This Row],[Quantity]]</f>
        <v>83906</v>
      </c>
      <c r="L867" s="4">
        <f>Table1[[#This Row],[Revenue]]-(Table1[[#This Row],[Revenue]]*Table1[[#This Row],[Discount]]/100)</f>
        <v>76354.460000000006</v>
      </c>
    </row>
    <row r="868" spans="1:12" x14ac:dyDescent="0.55000000000000004">
      <c r="A868" t="s">
        <v>897</v>
      </c>
      <c r="B868" s="2">
        <v>45237</v>
      </c>
      <c r="C868" t="s">
        <v>19</v>
      </c>
      <c r="D868" t="s">
        <v>37</v>
      </c>
      <c r="E868" t="s">
        <v>17</v>
      </c>
      <c r="F868" t="s">
        <v>44</v>
      </c>
      <c r="G868">
        <v>25744</v>
      </c>
      <c r="H868">
        <v>1</v>
      </c>
      <c r="I868">
        <v>1</v>
      </c>
      <c r="J868" t="s">
        <v>25</v>
      </c>
      <c r="K868" s="4">
        <f>Table1[[#This Row],[Sales]]*Table1[[#This Row],[Quantity]]</f>
        <v>25744</v>
      </c>
      <c r="L868" s="4">
        <f>Table1[[#This Row],[Revenue]]-(Table1[[#This Row],[Revenue]]*Table1[[#This Row],[Discount]]/100)</f>
        <v>25486.560000000001</v>
      </c>
    </row>
    <row r="869" spans="1:12" x14ac:dyDescent="0.55000000000000004">
      <c r="A869" t="s">
        <v>898</v>
      </c>
      <c r="B869" s="2">
        <v>45258</v>
      </c>
      <c r="C869" t="s">
        <v>24</v>
      </c>
      <c r="D869" t="s">
        <v>20</v>
      </c>
      <c r="E869" t="s">
        <v>11</v>
      </c>
      <c r="F869" t="s">
        <v>12</v>
      </c>
      <c r="G869">
        <v>17297</v>
      </c>
      <c r="H869">
        <v>4</v>
      </c>
      <c r="I869">
        <v>9</v>
      </c>
      <c r="J869" t="s">
        <v>25</v>
      </c>
      <c r="K869" s="4">
        <f>Table1[[#This Row],[Sales]]*Table1[[#This Row],[Quantity]]</f>
        <v>69188</v>
      </c>
      <c r="L869" s="4">
        <f>Table1[[#This Row],[Revenue]]-(Table1[[#This Row],[Revenue]]*Table1[[#This Row],[Discount]]/100)</f>
        <v>62961.08</v>
      </c>
    </row>
    <row r="870" spans="1:12" x14ac:dyDescent="0.55000000000000004">
      <c r="A870" t="s">
        <v>899</v>
      </c>
      <c r="B870" s="2">
        <v>45213</v>
      </c>
      <c r="C870" t="s">
        <v>15</v>
      </c>
      <c r="D870" t="s">
        <v>20</v>
      </c>
      <c r="E870" t="s">
        <v>17</v>
      </c>
      <c r="F870" t="s">
        <v>38</v>
      </c>
      <c r="G870">
        <v>26168</v>
      </c>
      <c r="H870">
        <v>2</v>
      </c>
      <c r="I870">
        <v>25</v>
      </c>
      <c r="J870" t="s">
        <v>25</v>
      </c>
      <c r="K870" s="4">
        <f>Table1[[#This Row],[Sales]]*Table1[[#This Row],[Quantity]]</f>
        <v>52336</v>
      </c>
      <c r="L870" s="4">
        <f>Table1[[#This Row],[Revenue]]-(Table1[[#This Row],[Revenue]]*Table1[[#This Row],[Discount]]/100)</f>
        <v>39252</v>
      </c>
    </row>
    <row r="871" spans="1:12" x14ac:dyDescent="0.55000000000000004">
      <c r="A871" t="s">
        <v>900</v>
      </c>
      <c r="B871" s="2">
        <v>44964</v>
      </c>
      <c r="C871" t="s">
        <v>24</v>
      </c>
      <c r="D871" t="s">
        <v>20</v>
      </c>
      <c r="E871" t="s">
        <v>17</v>
      </c>
      <c r="F871" t="s">
        <v>38</v>
      </c>
      <c r="G871">
        <v>7400</v>
      </c>
      <c r="H871">
        <v>3</v>
      </c>
      <c r="I871">
        <v>7</v>
      </c>
      <c r="J871" t="s">
        <v>22</v>
      </c>
      <c r="K871" s="4">
        <f>Table1[[#This Row],[Sales]]*Table1[[#This Row],[Quantity]]</f>
        <v>22200</v>
      </c>
      <c r="L871" s="4">
        <f>Table1[[#This Row],[Revenue]]-(Table1[[#This Row],[Revenue]]*Table1[[#This Row],[Discount]]/100)</f>
        <v>20646</v>
      </c>
    </row>
    <row r="872" spans="1:12" x14ac:dyDescent="0.55000000000000004">
      <c r="A872" t="s">
        <v>901</v>
      </c>
      <c r="B872" s="2">
        <v>44994</v>
      </c>
      <c r="C872" t="s">
        <v>31</v>
      </c>
      <c r="D872" t="s">
        <v>16</v>
      </c>
      <c r="E872" t="s">
        <v>17</v>
      </c>
      <c r="F872" t="s">
        <v>38</v>
      </c>
      <c r="G872">
        <v>19339</v>
      </c>
      <c r="H872">
        <v>6</v>
      </c>
      <c r="I872">
        <v>2</v>
      </c>
      <c r="J872" t="s">
        <v>13</v>
      </c>
      <c r="K872" s="4">
        <f>Table1[[#This Row],[Sales]]*Table1[[#This Row],[Quantity]]</f>
        <v>116034</v>
      </c>
      <c r="L872" s="4">
        <f>Table1[[#This Row],[Revenue]]-(Table1[[#This Row],[Revenue]]*Table1[[#This Row],[Discount]]/100)</f>
        <v>113713.32</v>
      </c>
    </row>
    <row r="873" spans="1:12" x14ac:dyDescent="0.55000000000000004">
      <c r="A873" t="s">
        <v>902</v>
      </c>
      <c r="B873" s="2">
        <v>45290</v>
      </c>
      <c r="C873" t="s">
        <v>19</v>
      </c>
      <c r="D873" t="s">
        <v>37</v>
      </c>
      <c r="E873" t="s">
        <v>17</v>
      </c>
      <c r="F873" t="s">
        <v>29</v>
      </c>
      <c r="G873">
        <v>24932</v>
      </c>
      <c r="H873">
        <v>2</v>
      </c>
      <c r="I873">
        <v>20</v>
      </c>
      <c r="J873" t="s">
        <v>13</v>
      </c>
      <c r="K873" s="4">
        <f>Table1[[#This Row],[Sales]]*Table1[[#This Row],[Quantity]]</f>
        <v>49864</v>
      </c>
      <c r="L873" s="4">
        <f>Table1[[#This Row],[Revenue]]-(Table1[[#This Row],[Revenue]]*Table1[[#This Row],[Discount]]/100)</f>
        <v>39891.199999999997</v>
      </c>
    </row>
    <row r="874" spans="1:12" x14ac:dyDescent="0.55000000000000004">
      <c r="A874" t="s">
        <v>903</v>
      </c>
      <c r="B874" s="2">
        <v>44976</v>
      </c>
      <c r="C874" t="s">
        <v>19</v>
      </c>
      <c r="D874" t="s">
        <v>27</v>
      </c>
      <c r="E874" t="s">
        <v>11</v>
      </c>
      <c r="F874" t="s">
        <v>29</v>
      </c>
      <c r="G874">
        <v>43399</v>
      </c>
      <c r="H874">
        <v>10</v>
      </c>
      <c r="I874">
        <v>13</v>
      </c>
      <c r="J874" t="s">
        <v>13</v>
      </c>
      <c r="K874" s="4">
        <f>Table1[[#This Row],[Sales]]*Table1[[#This Row],[Quantity]]</f>
        <v>433990</v>
      </c>
      <c r="L874" s="4">
        <f>Table1[[#This Row],[Revenue]]-(Table1[[#This Row],[Revenue]]*Table1[[#This Row],[Discount]]/100)</f>
        <v>377571.3</v>
      </c>
    </row>
    <row r="875" spans="1:12" x14ac:dyDescent="0.55000000000000004">
      <c r="A875" t="s">
        <v>904</v>
      </c>
      <c r="B875" s="2">
        <v>45101</v>
      </c>
      <c r="C875" t="s">
        <v>24</v>
      </c>
      <c r="D875" t="s">
        <v>16</v>
      </c>
      <c r="E875" t="s">
        <v>17</v>
      </c>
      <c r="F875" t="s">
        <v>38</v>
      </c>
      <c r="G875">
        <v>45122</v>
      </c>
      <c r="H875">
        <v>9</v>
      </c>
      <c r="I875">
        <v>4</v>
      </c>
      <c r="J875" t="s">
        <v>25</v>
      </c>
      <c r="K875" s="4">
        <f>Table1[[#This Row],[Sales]]*Table1[[#This Row],[Quantity]]</f>
        <v>406098</v>
      </c>
      <c r="L875" s="4">
        <f>Table1[[#This Row],[Revenue]]-(Table1[[#This Row],[Revenue]]*Table1[[#This Row],[Discount]]/100)</f>
        <v>389854.08</v>
      </c>
    </row>
    <row r="876" spans="1:12" x14ac:dyDescent="0.55000000000000004">
      <c r="A876" t="s">
        <v>905</v>
      </c>
      <c r="B876" s="2">
        <v>45084</v>
      </c>
      <c r="C876" t="s">
        <v>15</v>
      </c>
      <c r="D876" t="s">
        <v>37</v>
      </c>
      <c r="E876" t="s">
        <v>11</v>
      </c>
      <c r="F876" t="s">
        <v>44</v>
      </c>
      <c r="G876">
        <v>7474</v>
      </c>
      <c r="H876">
        <v>9</v>
      </c>
      <c r="I876">
        <v>10</v>
      </c>
      <c r="J876" t="s">
        <v>25</v>
      </c>
      <c r="K876" s="4">
        <f>Table1[[#This Row],[Sales]]*Table1[[#This Row],[Quantity]]</f>
        <v>67266</v>
      </c>
      <c r="L876" s="4">
        <f>Table1[[#This Row],[Revenue]]-(Table1[[#This Row],[Revenue]]*Table1[[#This Row],[Discount]]/100)</f>
        <v>60539.4</v>
      </c>
    </row>
    <row r="877" spans="1:12" x14ac:dyDescent="0.55000000000000004">
      <c r="A877" t="s">
        <v>906</v>
      </c>
      <c r="B877" s="2">
        <v>45017</v>
      </c>
      <c r="C877" t="s">
        <v>19</v>
      </c>
      <c r="D877" t="s">
        <v>20</v>
      </c>
      <c r="E877" t="s">
        <v>11</v>
      </c>
      <c r="F877" t="s">
        <v>34</v>
      </c>
      <c r="G877">
        <v>42098</v>
      </c>
      <c r="H877">
        <v>4</v>
      </c>
      <c r="I877">
        <v>4</v>
      </c>
      <c r="J877" t="s">
        <v>13</v>
      </c>
      <c r="K877" s="4">
        <f>Table1[[#This Row],[Sales]]*Table1[[#This Row],[Quantity]]</f>
        <v>168392</v>
      </c>
      <c r="L877" s="4">
        <f>Table1[[#This Row],[Revenue]]-(Table1[[#This Row],[Revenue]]*Table1[[#This Row],[Discount]]/100)</f>
        <v>161656.32000000001</v>
      </c>
    </row>
    <row r="878" spans="1:12" x14ac:dyDescent="0.55000000000000004">
      <c r="A878" t="s">
        <v>907</v>
      </c>
      <c r="B878" s="2">
        <v>45193</v>
      </c>
      <c r="C878" t="s">
        <v>19</v>
      </c>
      <c r="D878" t="s">
        <v>37</v>
      </c>
      <c r="E878" t="s">
        <v>17</v>
      </c>
      <c r="F878" t="s">
        <v>12</v>
      </c>
      <c r="G878">
        <v>11535</v>
      </c>
      <c r="H878">
        <v>1</v>
      </c>
      <c r="I878">
        <v>0</v>
      </c>
      <c r="J878" t="s">
        <v>13</v>
      </c>
      <c r="K878" s="4">
        <f>Table1[[#This Row],[Sales]]*Table1[[#This Row],[Quantity]]</f>
        <v>11535</v>
      </c>
      <c r="L878" s="4">
        <f>Table1[[#This Row],[Revenue]]-(Table1[[#This Row],[Revenue]]*Table1[[#This Row],[Discount]]/100)</f>
        <v>11535</v>
      </c>
    </row>
    <row r="879" spans="1:12" x14ac:dyDescent="0.55000000000000004">
      <c r="A879" t="s">
        <v>908</v>
      </c>
      <c r="B879" s="2">
        <v>45009</v>
      </c>
      <c r="C879" t="s">
        <v>15</v>
      </c>
      <c r="D879" t="s">
        <v>16</v>
      </c>
      <c r="E879" t="s">
        <v>17</v>
      </c>
      <c r="F879" t="s">
        <v>48</v>
      </c>
      <c r="G879">
        <v>2934</v>
      </c>
      <c r="H879">
        <v>5</v>
      </c>
      <c r="I879">
        <v>0</v>
      </c>
      <c r="J879" t="s">
        <v>25</v>
      </c>
      <c r="K879" s="4">
        <f>Table1[[#This Row],[Sales]]*Table1[[#This Row],[Quantity]]</f>
        <v>14670</v>
      </c>
      <c r="L879" s="4">
        <f>Table1[[#This Row],[Revenue]]-(Table1[[#This Row],[Revenue]]*Table1[[#This Row],[Discount]]/100)</f>
        <v>14670</v>
      </c>
    </row>
    <row r="880" spans="1:12" x14ac:dyDescent="0.55000000000000004">
      <c r="A880" t="s">
        <v>909</v>
      </c>
      <c r="B880" s="2">
        <v>45124</v>
      </c>
      <c r="C880" t="s">
        <v>15</v>
      </c>
      <c r="D880" t="s">
        <v>16</v>
      </c>
      <c r="E880" t="s">
        <v>17</v>
      </c>
      <c r="F880" t="s">
        <v>44</v>
      </c>
      <c r="G880">
        <v>48227</v>
      </c>
      <c r="H880">
        <v>9</v>
      </c>
      <c r="I880">
        <v>19</v>
      </c>
      <c r="J880" t="s">
        <v>22</v>
      </c>
      <c r="K880" s="4">
        <f>Table1[[#This Row],[Sales]]*Table1[[#This Row],[Quantity]]</f>
        <v>434043</v>
      </c>
      <c r="L880" s="4">
        <f>Table1[[#This Row],[Revenue]]-(Table1[[#This Row],[Revenue]]*Table1[[#This Row],[Discount]]/100)</f>
        <v>351574.83</v>
      </c>
    </row>
    <row r="881" spans="1:12" x14ac:dyDescent="0.55000000000000004">
      <c r="A881" t="s">
        <v>910</v>
      </c>
      <c r="B881" s="2">
        <v>44991</v>
      </c>
      <c r="C881" t="s">
        <v>15</v>
      </c>
      <c r="D881" t="s">
        <v>20</v>
      </c>
      <c r="E881" t="s">
        <v>17</v>
      </c>
      <c r="F881" t="s">
        <v>29</v>
      </c>
      <c r="G881">
        <v>26589</v>
      </c>
      <c r="H881">
        <v>3</v>
      </c>
      <c r="I881">
        <v>7</v>
      </c>
      <c r="J881" t="s">
        <v>22</v>
      </c>
      <c r="K881" s="4">
        <f>Table1[[#This Row],[Sales]]*Table1[[#This Row],[Quantity]]</f>
        <v>79767</v>
      </c>
      <c r="L881" s="4">
        <f>Table1[[#This Row],[Revenue]]-(Table1[[#This Row],[Revenue]]*Table1[[#This Row],[Discount]]/100)</f>
        <v>74183.31</v>
      </c>
    </row>
    <row r="882" spans="1:12" x14ac:dyDescent="0.55000000000000004">
      <c r="A882" t="s">
        <v>911</v>
      </c>
      <c r="B882" s="2">
        <v>45171</v>
      </c>
      <c r="C882" t="s">
        <v>15</v>
      </c>
      <c r="D882" t="s">
        <v>27</v>
      </c>
      <c r="E882" t="s">
        <v>17</v>
      </c>
      <c r="F882" t="s">
        <v>48</v>
      </c>
      <c r="G882">
        <v>48298</v>
      </c>
      <c r="H882">
        <v>2</v>
      </c>
      <c r="I882">
        <v>9</v>
      </c>
      <c r="J882" t="s">
        <v>25</v>
      </c>
      <c r="K882" s="4">
        <f>Table1[[#This Row],[Sales]]*Table1[[#This Row],[Quantity]]</f>
        <v>96596</v>
      </c>
      <c r="L882" s="4">
        <f>Table1[[#This Row],[Revenue]]-(Table1[[#This Row],[Revenue]]*Table1[[#This Row],[Discount]]/100)</f>
        <v>87902.36</v>
      </c>
    </row>
    <row r="883" spans="1:12" x14ac:dyDescent="0.55000000000000004">
      <c r="A883" t="s">
        <v>912</v>
      </c>
      <c r="B883" s="2">
        <v>45034</v>
      </c>
      <c r="C883" t="s">
        <v>31</v>
      </c>
      <c r="D883" t="s">
        <v>20</v>
      </c>
      <c r="E883" t="s">
        <v>17</v>
      </c>
      <c r="F883" t="s">
        <v>38</v>
      </c>
      <c r="G883">
        <v>25279</v>
      </c>
      <c r="H883">
        <v>8</v>
      </c>
      <c r="I883">
        <v>14</v>
      </c>
      <c r="J883" t="s">
        <v>22</v>
      </c>
      <c r="K883" s="4">
        <f>Table1[[#This Row],[Sales]]*Table1[[#This Row],[Quantity]]</f>
        <v>202232</v>
      </c>
      <c r="L883" s="4">
        <f>Table1[[#This Row],[Revenue]]-(Table1[[#This Row],[Revenue]]*Table1[[#This Row],[Discount]]/100)</f>
        <v>173919.52</v>
      </c>
    </row>
    <row r="884" spans="1:12" x14ac:dyDescent="0.55000000000000004">
      <c r="A884" t="s">
        <v>913</v>
      </c>
      <c r="B884" s="2">
        <v>45081</v>
      </c>
      <c r="C884" t="s">
        <v>24</v>
      </c>
      <c r="D884" t="s">
        <v>46</v>
      </c>
      <c r="E884" t="s">
        <v>17</v>
      </c>
      <c r="F884" t="s">
        <v>38</v>
      </c>
      <c r="G884">
        <v>47680</v>
      </c>
      <c r="H884">
        <v>5</v>
      </c>
      <c r="I884">
        <v>12</v>
      </c>
      <c r="J884" t="s">
        <v>22</v>
      </c>
      <c r="K884" s="4">
        <f>Table1[[#This Row],[Sales]]*Table1[[#This Row],[Quantity]]</f>
        <v>238400</v>
      </c>
      <c r="L884" s="4">
        <f>Table1[[#This Row],[Revenue]]-(Table1[[#This Row],[Revenue]]*Table1[[#This Row],[Discount]]/100)</f>
        <v>209792</v>
      </c>
    </row>
    <row r="885" spans="1:12" x14ac:dyDescent="0.55000000000000004">
      <c r="A885" t="s">
        <v>914</v>
      </c>
      <c r="B885" s="2">
        <v>45271</v>
      </c>
      <c r="C885" t="s">
        <v>15</v>
      </c>
      <c r="D885" t="s">
        <v>46</v>
      </c>
      <c r="E885" t="s">
        <v>11</v>
      </c>
      <c r="F885" t="s">
        <v>12</v>
      </c>
      <c r="G885">
        <v>13914</v>
      </c>
      <c r="H885">
        <v>9</v>
      </c>
      <c r="I885">
        <v>16</v>
      </c>
      <c r="J885" t="s">
        <v>13</v>
      </c>
      <c r="K885" s="4">
        <f>Table1[[#This Row],[Sales]]*Table1[[#This Row],[Quantity]]</f>
        <v>125226</v>
      </c>
      <c r="L885" s="4">
        <f>Table1[[#This Row],[Revenue]]-(Table1[[#This Row],[Revenue]]*Table1[[#This Row],[Discount]]/100)</f>
        <v>105189.84</v>
      </c>
    </row>
    <row r="886" spans="1:12" x14ac:dyDescent="0.55000000000000004">
      <c r="A886" t="s">
        <v>915</v>
      </c>
      <c r="B886" s="2">
        <v>44961</v>
      </c>
      <c r="C886" t="s">
        <v>24</v>
      </c>
      <c r="D886" t="s">
        <v>20</v>
      </c>
      <c r="E886" t="s">
        <v>11</v>
      </c>
      <c r="F886" t="s">
        <v>38</v>
      </c>
      <c r="G886">
        <v>2929</v>
      </c>
      <c r="H886">
        <v>4</v>
      </c>
      <c r="I886">
        <v>12</v>
      </c>
      <c r="J886" t="s">
        <v>25</v>
      </c>
      <c r="K886" s="4">
        <f>Table1[[#This Row],[Sales]]*Table1[[#This Row],[Quantity]]</f>
        <v>11716</v>
      </c>
      <c r="L886" s="4">
        <f>Table1[[#This Row],[Revenue]]-(Table1[[#This Row],[Revenue]]*Table1[[#This Row],[Discount]]/100)</f>
        <v>10310.08</v>
      </c>
    </row>
    <row r="887" spans="1:12" x14ac:dyDescent="0.55000000000000004">
      <c r="A887" t="s">
        <v>916</v>
      </c>
      <c r="B887" s="2">
        <v>45261</v>
      </c>
      <c r="C887" t="s">
        <v>15</v>
      </c>
      <c r="D887" t="s">
        <v>27</v>
      </c>
      <c r="E887" t="s">
        <v>17</v>
      </c>
      <c r="F887" t="s">
        <v>12</v>
      </c>
      <c r="G887">
        <v>4942</v>
      </c>
      <c r="H887">
        <v>10</v>
      </c>
      <c r="I887">
        <v>17</v>
      </c>
      <c r="J887" t="s">
        <v>22</v>
      </c>
      <c r="K887" s="4">
        <f>Table1[[#This Row],[Sales]]*Table1[[#This Row],[Quantity]]</f>
        <v>49420</v>
      </c>
      <c r="L887" s="4">
        <f>Table1[[#This Row],[Revenue]]-(Table1[[#This Row],[Revenue]]*Table1[[#This Row],[Discount]]/100)</f>
        <v>41018.6</v>
      </c>
    </row>
    <row r="888" spans="1:12" x14ac:dyDescent="0.55000000000000004">
      <c r="A888" t="s">
        <v>917</v>
      </c>
      <c r="B888" s="2">
        <v>45279</v>
      </c>
      <c r="C888" t="s">
        <v>24</v>
      </c>
      <c r="D888" t="s">
        <v>20</v>
      </c>
      <c r="E888" t="s">
        <v>11</v>
      </c>
      <c r="F888" t="s">
        <v>29</v>
      </c>
      <c r="G888">
        <v>24864</v>
      </c>
      <c r="H888">
        <v>1</v>
      </c>
      <c r="I888">
        <v>9</v>
      </c>
      <c r="J888" t="s">
        <v>25</v>
      </c>
      <c r="K888" s="4">
        <f>Table1[[#This Row],[Sales]]*Table1[[#This Row],[Quantity]]</f>
        <v>24864</v>
      </c>
      <c r="L888" s="4">
        <f>Table1[[#This Row],[Revenue]]-(Table1[[#This Row],[Revenue]]*Table1[[#This Row],[Discount]]/100)</f>
        <v>22626.239999999998</v>
      </c>
    </row>
    <row r="889" spans="1:12" x14ac:dyDescent="0.55000000000000004">
      <c r="A889" t="s">
        <v>918</v>
      </c>
      <c r="B889" s="2">
        <v>45010</v>
      </c>
      <c r="C889" t="s">
        <v>24</v>
      </c>
      <c r="D889" t="s">
        <v>16</v>
      </c>
      <c r="E889" t="s">
        <v>11</v>
      </c>
      <c r="F889" t="s">
        <v>38</v>
      </c>
      <c r="G889">
        <v>5611</v>
      </c>
      <c r="H889">
        <v>5</v>
      </c>
      <c r="I889">
        <v>4</v>
      </c>
      <c r="J889" t="s">
        <v>22</v>
      </c>
      <c r="K889" s="4">
        <f>Table1[[#This Row],[Sales]]*Table1[[#This Row],[Quantity]]</f>
        <v>28055</v>
      </c>
      <c r="L889" s="4">
        <f>Table1[[#This Row],[Revenue]]-(Table1[[#This Row],[Revenue]]*Table1[[#This Row],[Discount]]/100)</f>
        <v>26932.799999999999</v>
      </c>
    </row>
    <row r="890" spans="1:12" x14ac:dyDescent="0.55000000000000004">
      <c r="A890" t="s">
        <v>919</v>
      </c>
      <c r="B890" s="2">
        <v>45073</v>
      </c>
      <c r="C890" t="s">
        <v>31</v>
      </c>
      <c r="D890" t="s">
        <v>37</v>
      </c>
      <c r="E890" t="s">
        <v>11</v>
      </c>
      <c r="F890" t="s">
        <v>38</v>
      </c>
      <c r="G890">
        <v>17098</v>
      </c>
      <c r="H890">
        <v>1</v>
      </c>
      <c r="I890">
        <v>20</v>
      </c>
      <c r="J890" t="s">
        <v>22</v>
      </c>
      <c r="K890" s="4">
        <f>Table1[[#This Row],[Sales]]*Table1[[#This Row],[Quantity]]</f>
        <v>17098</v>
      </c>
      <c r="L890" s="4">
        <f>Table1[[#This Row],[Revenue]]-(Table1[[#This Row],[Revenue]]*Table1[[#This Row],[Discount]]/100)</f>
        <v>13678.4</v>
      </c>
    </row>
    <row r="891" spans="1:12" x14ac:dyDescent="0.55000000000000004">
      <c r="A891" t="s">
        <v>920</v>
      </c>
      <c r="B891" s="2">
        <v>45020</v>
      </c>
      <c r="C891" t="s">
        <v>24</v>
      </c>
      <c r="D891" t="s">
        <v>27</v>
      </c>
      <c r="E891" t="s">
        <v>11</v>
      </c>
      <c r="F891" t="s">
        <v>44</v>
      </c>
      <c r="G891">
        <v>23671</v>
      </c>
      <c r="H891">
        <v>6</v>
      </c>
      <c r="I891">
        <v>13</v>
      </c>
      <c r="J891" t="s">
        <v>22</v>
      </c>
      <c r="K891" s="4">
        <f>Table1[[#This Row],[Sales]]*Table1[[#This Row],[Quantity]]</f>
        <v>142026</v>
      </c>
      <c r="L891" s="4">
        <f>Table1[[#This Row],[Revenue]]-(Table1[[#This Row],[Revenue]]*Table1[[#This Row],[Discount]]/100)</f>
        <v>123562.62</v>
      </c>
    </row>
    <row r="892" spans="1:12" x14ac:dyDescent="0.55000000000000004">
      <c r="A892" t="s">
        <v>921</v>
      </c>
      <c r="B892" s="2">
        <v>44988</v>
      </c>
      <c r="C892" t="s">
        <v>15</v>
      </c>
      <c r="D892" t="s">
        <v>37</v>
      </c>
      <c r="E892" t="s">
        <v>11</v>
      </c>
      <c r="F892" t="s">
        <v>44</v>
      </c>
      <c r="G892">
        <v>17269</v>
      </c>
      <c r="H892">
        <v>10</v>
      </c>
      <c r="I892">
        <v>20</v>
      </c>
      <c r="J892" t="s">
        <v>25</v>
      </c>
      <c r="K892" s="4">
        <f>Table1[[#This Row],[Sales]]*Table1[[#This Row],[Quantity]]</f>
        <v>172690</v>
      </c>
      <c r="L892" s="4">
        <f>Table1[[#This Row],[Revenue]]-(Table1[[#This Row],[Revenue]]*Table1[[#This Row],[Discount]]/100)</f>
        <v>138152</v>
      </c>
    </row>
    <row r="893" spans="1:12" x14ac:dyDescent="0.55000000000000004">
      <c r="A893" t="s">
        <v>922</v>
      </c>
      <c r="B893" s="2">
        <v>45005</v>
      </c>
      <c r="C893" t="s">
        <v>31</v>
      </c>
      <c r="D893" t="s">
        <v>37</v>
      </c>
      <c r="E893" t="s">
        <v>17</v>
      </c>
      <c r="F893" t="s">
        <v>34</v>
      </c>
      <c r="G893">
        <v>32516</v>
      </c>
      <c r="H893">
        <v>1</v>
      </c>
      <c r="I893">
        <v>16</v>
      </c>
      <c r="J893" t="s">
        <v>25</v>
      </c>
      <c r="K893" s="4">
        <f>Table1[[#This Row],[Sales]]*Table1[[#This Row],[Quantity]]</f>
        <v>32516</v>
      </c>
      <c r="L893" s="4">
        <f>Table1[[#This Row],[Revenue]]-(Table1[[#This Row],[Revenue]]*Table1[[#This Row],[Discount]]/100)</f>
        <v>27313.439999999999</v>
      </c>
    </row>
    <row r="894" spans="1:12" x14ac:dyDescent="0.55000000000000004">
      <c r="A894" t="s">
        <v>923</v>
      </c>
      <c r="B894" s="2">
        <v>45274</v>
      </c>
      <c r="C894" t="s">
        <v>19</v>
      </c>
      <c r="D894" t="s">
        <v>20</v>
      </c>
      <c r="E894" t="s">
        <v>11</v>
      </c>
      <c r="F894" t="s">
        <v>34</v>
      </c>
      <c r="G894">
        <v>22996</v>
      </c>
      <c r="H894">
        <v>2</v>
      </c>
      <c r="I894">
        <v>5</v>
      </c>
      <c r="J894" t="s">
        <v>13</v>
      </c>
      <c r="K894" s="4">
        <f>Table1[[#This Row],[Sales]]*Table1[[#This Row],[Quantity]]</f>
        <v>45992</v>
      </c>
      <c r="L894" s="4">
        <f>Table1[[#This Row],[Revenue]]-(Table1[[#This Row],[Revenue]]*Table1[[#This Row],[Discount]]/100)</f>
        <v>43692.4</v>
      </c>
    </row>
    <row r="895" spans="1:12" x14ac:dyDescent="0.55000000000000004">
      <c r="A895" t="s">
        <v>924</v>
      </c>
      <c r="B895" s="2">
        <v>45149</v>
      </c>
      <c r="C895" t="s">
        <v>31</v>
      </c>
      <c r="D895" t="s">
        <v>20</v>
      </c>
      <c r="E895" t="s">
        <v>11</v>
      </c>
      <c r="F895" t="s">
        <v>29</v>
      </c>
      <c r="G895">
        <v>1060</v>
      </c>
      <c r="H895">
        <v>10</v>
      </c>
      <c r="I895">
        <v>13</v>
      </c>
      <c r="J895" t="s">
        <v>13</v>
      </c>
      <c r="K895" s="4">
        <f>Table1[[#This Row],[Sales]]*Table1[[#This Row],[Quantity]]</f>
        <v>10600</v>
      </c>
      <c r="L895" s="4">
        <f>Table1[[#This Row],[Revenue]]-(Table1[[#This Row],[Revenue]]*Table1[[#This Row],[Discount]]/100)</f>
        <v>9222</v>
      </c>
    </row>
    <row r="896" spans="1:12" x14ac:dyDescent="0.55000000000000004">
      <c r="A896" t="s">
        <v>925</v>
      </c>
      <c r="B896" s="2">
        <v>45244</v>
      </c>
      <c r="C896" t="s">
        <v>15</v>
      </c>
      <c r="D896" t="s">
        <v>27</v>
      </c>
      <c r="E896" t="s">
        <v>11</v>
      </c>
      <c r="F896" t="s">
        <v>12</v>
      </c>
      <c r="G896">
        <v>41522</v>
      </c>
      <c r="H896">
        <v>6</v>
      </c>
      <c r="I896">
        <v>3</v>
      </c>
      <c r="J896" t="s">
        <v>25</v>
      </c>
      <c r="K896" s="4">
        <f>Table1[[#This Row],[Sales]]*Table1[[#This Row],[Quantity]]</f>
        <v>249132</v>
      </c>
      <c r="L896" s="4">
        <f>Table1[[#This Row],[Revenue]]-(Table1[[#This Row],[Revenue]]*Table1[[#This Row],[Discount]]/100)</f>
        <v>241658.04</v>
      </c>
    </row>
    <row r="897" spans="1:12" x14ac:dyDescent="0.55000000000000004">
      <c r="A897" t="s">
        <v>926</v>
      </c>
      <c r="B897" s="2">
        <v>45235</v>
      </c>
      <c r="C897" t="s">
        <v>24</v>
      </c>
      <c r="D897" t="s">
        <v>46</v>
      </c>
      <c r="E897" t="s">
        <v>17</v>
      </c>
      <c r="F897" t="s">
        <v>29</v>
      </c>
      <c r="G897">
        <v>16368</v>
      </c>
      <c r="H897">
        <v>1</v>
      </c>
      <c r="I897">
        <v>29</v>
      </c>
      <c r="J897" t="s">
        <v>13</v>
      </c>
      <c r="K897" s="4">
        <f>Table1[[#This Row],[Sales]]*Table1[[#This Row],[Quantity]]</f>
        <v>16368</v>
      </c>
      <c r="L897" s="4">
        <f>Table1[[#This Row],[Revenue]]-(Table1[[#This Row],[Revenue]]*Table1[[#This Row],[Discount]]/100)</f>
        <v>11621.279999999999</v>
      </c>
    </row>
    <row r="898" spans="1:12" x14ac:dyDescent="0.55000000000000004">
      <c r="A898" t="s">
        <v>927</v>
      </c>
      <c r="B898" s="2">
        <v>45059</v>
      </c>
      <c r="C898" t="s">
        <v>19</v>
      </c>
      <c r="D898" t="s">
        <v>46</v>
      </c>
      <c r="E898" t="s">
        <v>17</v>
      </c>
      <c r="F898" t="s">
        <v>12</v>
      </c>
      <c r="G898">
        <v>46089</v>
      </c>
      <c r="H898">
        <v>7</v>
      </c>
      <c r="I898">
        <v>6</v>
      </c>
      <c r="J898" t="s">
        <v>25</v>
      </c>
      <c r="K898" s="4">
        <f>Table1[[#This Row],[Sales]]*Table1[[#This Row],[Quantity]]</f>
        <v>322623</v>
      </c>
      <c r="L898" s="4">
        <f>Table1[[#This Row],[Revenue]]-(Table1[[#This Row],[Revenue]]*Table1[[#This Row],[Discount]]/100)</f>
        <v>303265.62</v>
      </c>
    </row>
    <row r="899" spans="1:12" x14ac:dyDescent="0.55000000000000004">
      <c r="A899" t="s">
        <v>928</v>
      </c>
      <c r="B899" s="2">
        <v>45248</v>
      </c>
      <c r="C899" t="s">
        <v>19</v>
      </c>
      <c r="D899" t="s">
        <v>37</v>
      </c>
      <c r="E899" t="s">
        <v>17</v>
      </c>
      <c r="F899" t="s">
        <v>21</v>
      </c>
      <c r="G899">
        <v>28542</v>
      </c>
      <c r="H899">
        <v>8</v>
      </c>
      <c r="I899">
        <v>9</v>
      </c>
      <c r="J899" t="s">
        <v>22</v>
      </c>
      <c r="K899" s="4">
        <f>Table1[[#This Row],[Sales]]*Table1[[#This Row],[Quantity]]</f>
        <v>228336</v>
      </c>
      <c r="L899" s="4">
        <f>Table1[[#This Row],[Revenue]]-(Table1[[#This Row],[Revenue]]*Table1[[#This Row],[Discount]]/100)</f>
        <v>207785.76</v>
      </c>
    </row>
    <row r="900" spans="1:12" x14ac:dyDescent="0.55000000000000004">
      <c r="A900" t="s">
        <v>929</v>
      </c>
      <c r="B900" s="2">
        <v>45224</v>
      </c>
      <c r="C900" t="s">
        <v>15</v>
      </c>
      <c r="D900" t="s">
        <v>46</v>
      </c>
      <c r="E900" t="s">
        <v>17</v>
      </c>
      <c r="F900" t="s">
        <v>48</v>
      </c>
      <c r="G900">
        <v>4029</v>
      </c>
      <c r="H900">
        <v>9</v>
      </c>
      <c r="I900">
        <v>8</v>
      </c>
      <c r="J900" t="s">
        <v>13</v>
      </c>
      <c r="K900" s="4">
        <f>Table1[[#This Row],[Sales]]*Table1[[#This Row],[Quantity]]</f>
        <v>36261</v>
      </c>
      <c r="L900" s="4">
        <f>Table1[[#This Row],[Revenue]]-(Table1[[#This Row],[Revenue]]*Table1[[#This Row],[Discount]]/100)</f>
        <v>33360.120000000003</v>
      </c>
    </row>
    <row r="901" spans="1:12" x14ac:dyDescent="0.55000000000000004">
      <c r="A901" t="s">
        <v>930</v>
      </c>
      <c r="B901" s="2">
        <v>45183</v>
      </c>
      <c r="C901" t="s">
        <v>15</v>
      </c>
      <c r="D901" t="s">
        <v>27</v>
      </c>
      <c r="E901" t="s">
        <v>11</v>
      </c>
      <c r="F901" t="s">
        <v>12</v>
      </c>
      <c r="G901">
        <v>40538</v>
      </c>
      <c r="H901">
        <v>6</v>
      </c>
      <c r="I901">
        <v>30</v>
      </c>
      <c r="J901" t="s">
        <v>22</v>
      </c>
      <c r="K901" s="4">
        <f>Table1[[#This Row],[Sales]]*Table1[[#This Row],[Quantity]]</f>
        <v>243228</v>
      </c>
      <c r="L901" s="4">
        <f>Table1[[#This Row],[Revenue]]-(Table1[[#This Row],[Revenue]]*Table1[[#This Row],[Discount]]/100)</f>
        <v>170259.6</v>
      </c>
    </row>
    <row r="902" spans="1:12" x14ac:dyDescent="0.55000000000000004">
      <c r="A902" t="s">
        <v>931</v>
      </c>
      <c r="B902" s="2">
        <v>45194</v>
      </c>
      <c r="C902" t="s">
        <v>24</v>
      </c>
      <c r="D902" t="s">
        <v>27</v>
      </c>
      <c r="E902" t="s">
        <v>11</v>
      </c>
      <c r="F902" t="s">
        <v>12</v>
      </c>
      <c r="G902">
        <v>34968</v>
      </c>
      <c r="H902">
        <v>9</v>
      </c>
      <c r="I902">
        <v>9</v>
      </c>
      <c r="J902" t="s">
        <v>25</v>
      </c>
      <c r="K902" s="4">
        <f>Table1[[#This Row],[Sales]]*Table1[[#This Row],[Quantity]]</f>
        <v>314712</v>
      </c>
      <c r="L902" s="4">
        <f>Table1[[#This Row],[Revenue]]-(Table1[[#This Row],[Revenue]]*Table1[[#This Row],[Discount]]/100)</f>
        <v>286387.92</v>
      </c>
    </row>
    <row r="903" spans="1:12" x14ac:dyDescent="0.55000000000000004">
      <c r="A903" t="s">
        <v>932</v>
      </c>
      <c r="B903" s="2">
        <v>45172</v>
      </c>
      <c r="C903" t="s">
        <v>19</v>
      </c>
      <c r="D903" t="s">
        <v>37</v>
      </c>
      <c r="E903" t="s">
        <v>11</v>
      </c>
      <c r="F903" t="s">
        <v>48</v>
      </c>
      <c r="G903">
        <v>17199</v>
      </c>
      <c r="H903">
        <v>6</v>
      </c>
      <c r="I903">
        <v>5</v>
      </c>
      <c r="J903" t="s">
        <v>13</v>
      </c>
      <c r="K903" s="4">
        <f>Table1[[#This Row],[Sales]]*Table1[[#This Row],[Quantity]]</f>
        <v>103194</v>
      </c>
      <c r="L903" s="4">
        <f>Table1[[#This Row],[Revenue]]-(Table1[[#This Row],[Revenue]]*Table1[[#This Row],[Discount]]/100)</f>
        <v>98034.3</v>
      </c>
    </row>
    <row r="904" spans="1:12" x14ac:dyDescent="0.55000000000000004">
      <c r="A904" t="s">
        <v>933</v>
      </c>
      <c r="B904" s="2">
        <v>44948</v>
      </c>
      <c r="C904" t="s">
        <v>31</v>
      </c>
      <c r="D904" t="s">
        <v>27</v>
      </c>
      <c r="E904" t="s">
        <v>17</v>
      </c>
      <c r="F904" t="s">
        <v>48</v>
      </c>
      <c r="G904">
        <v>21214</v>
      </c>
      <c r="H904">
        <v>4</v>
      </c>
      <c r="I904">
        <v>0</v>
      </c>
      <c r="J904" t="s">
        <v>25</v>
      </c>
      <c r="K904" s="4">
        <f>Table1[[#This Row],[Sales]]*Table1[[#This Row],[Quantity]]</f>
        <v>84856</v>
      </c>
      <c r="L904" s="4">
        <f>Table1[[#This Row],[Revenue]]-(Table1[[#This Row],[Revenue]]*Table1[[#This Row],[Discount]]/100)</f>
        <v>84856</v>
      </c>
    </row>
    <row r="905" spans="1:12" x14ac:dyDescent="0.55000000000000004">
      <c r="A905" t="s">
        <v>934</v>
      </c>
      <c r="B905" s="2">
        <v>45190</v>
      </c>
      <c r="C905" t="s">
        <v>19</v>
      </c>
      <c r="D905" t="s">
        <v>27</v>
      </c>
      <c r="E905" t="s">
        <v>11</v>
      </c>
      <c r="F905" t="s">
        <v>48</v>
      </c>
      <c r="G905">
        <v>23407</v>
      </c>
      <c r="H905">
        <v>8</v>
      </c>
      <c r="I905">
        <v>23</v>
      </c>
      <c r="J905" t="s">
        <v>25</v>
      </c>
      <c r="K905" s="4">
        <f>Table1[[#This Row],[Sales]]*Table1[[#This Row],[Quantity]]</f>
        <v>187256</v>
      </c>
      <c r="L905" s="4">
        <f>Table1[[#This Row],[Revenue]]-(Table1[[#This Row],[Revenue]]*Table1[[#This Row],[Discount]]/100)</f>
        <v>144187.12</v>
      </c>
    </row>
    <row r="906" spans="1:12" x14ac:dyDescent="0.55000000000000004">
      <c r="A906" t="s">
        <v>935</v>
      </c>
      <c r="B906" s="2">
        <v>45222</v>
      </c>
      <c r="C906" t="s">
        <v>15</v>
      </c>
      <c r="D906" t="s">
        <v>20</v>
      </c>
      <c r="E906" t="s">
        <v>11</v>
      </c>
      <c r="F906" t="s">
        <v>48</v>
      </c>
      <c r="G906">
        <v>23684</v>
      </c>
      <c r="H906">
        <v>3</v>
      </c>
      <c r="I906">
        <v>15</v>
      </c>
      <c r="J906" t="s">
        <v>22</v>
      </c>
      <c r="K906" s="4">
        <f>Table1[[#This Row],[Sales]]*Table1[[#This Row],[Quantity]]</f>
        <v>71052</v>
      </c>
      <c r="L906" s="4">
        <f>Table1[[#This Row],[Revenue]]-(Table1[[#This Row],[Revenue]]*Table1[[#This Row],[Discount]]/100)</f>
        <v>60394.2</v>
      </c>
    </row>
    <row r="907" spans="1:12" x14ac:dyDescent="0.55000000000000004">
      <c r="A907" t="s">
        <v>936</v>
      </c>
      <c r="B907" s="2">
        <v>45222</v>
      </c>
      <c r="C907" t="s">
        <v>19</v>
      </c>
      <c r="D907" t="s">
        <v>27</v>
      </c>
      <c r="E907" t="s">
        <v>17</v>
      </c>
      <c r="F907" t="s">
        <v>29</v>
      </c>
      <c r="G907">
        <v>20004</v>
      </c>
      <c r="H907">
        <v>10</v>
      </c>
      <c r="I907">
        <v>9</v>
      </c>
      <c r="J907" t="s">
        <v>22</v>
      </c>
      <c r="K907" s="4">
        <f>Table1[[#This Row],[Sales]]*Table1[[#This Row],[Quantity]]</f>
        <v>200040</v>
      </c>
      <c r="L907" s="4">
        <f>Table1[[#This Row],[Revenue]]-(Table1[[#This Row],[Revenue]]*Table1[[#This Row],[Discount]]/100)</f>
        <v>182036.4</v>
      </c>
    </row>
    <row r="908" spans="1:12" x14ac:dyDescent="0.55000000000000004">
      <c r="A908" t="s">
        <v>937</v>
      </c>
      <c r="B908" s="2">
        <v>45160</v>
      </c>
      <c r="C908" t="s">
        <v>24</v>
      </c>
      <c r="D908" t="s">
        <v>46</v>
      </c>
      <c r="E908" t="s">
        <v>17</v>
      </c>
      <c r="F908" t="s">
        <v>29</v>
      </c>
      <c r="G908">
        <v>43992</v>
      </c>
      <c r="H908">
        <v>9</v>
      </c>
      <c r="I908">
        <v>3</v>
      </c>
      <c r="J908" t="s">
        <v>13</v>
      </c>
      <c r="K908" s="4">
        <f>Table1[[#This Row],[Sales]]*Table1[[#This Row],[Quantity]]</f>
        <v>395928</v>
      </c>
      <c r="L908" s="4">
        <f>Table1[[#This Row],[Revenue]]-(Table1[[#This Row],[Revenue]]*Table1[[#This Row],[Discount]]/100)</f>
        <v>384050.16</v>
      </c>
    </row>
    <row r="909" spans="1:12" x14ac:dyDescent="0.55000000000000004">
      <c r="A909" t="s">
        <v>938</v>
      </c>
      <c r="B909" s="2">
        <v>45285</v>
      </c>
      <c r="C909" t="s">
        <v>19</v>
      </c>
      <c r="D909" t="s">
        <v>37</v>
      </c>
      <c r="E909" t="s">
        <v>17</v>
      </c>
      <c r="F909" t="s">
        <v>44</v>
      </c>
      <c r="G909">
        <v>32156</v>
      </c>
      <c r="H909">
        <v>3</v>
      </c>
      <c r="I909">
        <v>20</v>
      </c>
      <c r="J909" t="s">
        <v>22</v>
      </c>
      <c r="K909" s="4">
        <f>Table1[[#This Row],[Sales]]*Table1[[#This Row],[Quantity]]</f>
        <v>96468</v>
      </c>
      <c r="L909" s="4">
        <f>Table1[[#This Row],[Revenue]]-(Table1[[#This Row],[Revenue]]*Table1[[#This Row],[Discount]]/100)</f>
        <v>77174.399999999994</v>
      </c>
    </row>
    <row r="910" spans="1:12" x14ac:dyDescent="0.55000000000000004">
      <c r="A910" t="s">
        <v>939</v>
      </c>
      <c r="B910" s="2">
        <v>45148</v>
      </c>
      <c r="C910" t="s">
        <v>31</v>
      </c>
      <c r="D910" t="s">
        <v>46</v>
      </c>
      <c r="E910" t="s">
        <v>11</v>
      </c>
      <c r="F910" t="s">
        <v>48</v>
      </c>
      <c r="G910">
        <v>23540</v>
      </c>
      <c r="H910">
        <v>10</v>
      </c>
      <c r="I910">
        <v>30</v>
      </c>
      <c r="J910" t="s">
        <v>13</v>
      </c>
      <c r="K910" s="4">
        <f>Table1[[#This Row],[Sales]]*Table1[[#This Row],[Quantity]]</f>
        <v>235400</v>
      </c>
      <c r="L910" s="4">
        <f>Table1[[#This Row],[Revenue]]-(Table1[[#This Row],[Revenue]]*Table1[[#This Row],[Discount]]/100)</f>
        <v>164780</v>
      </c>
    </row>
    <row r="911" spans="1:12" x14ac:dyDescent="0.55000000000000004">
      <c r="A911" t="s">
        <v>940</v>
      </c>
      <c r="B911" s="2">
        <v>45076</v>
      </c>
      <c r="C911" t="s">
        <v>15</v>
      </c>
      <c r="D911" t="s">
        <v>16</v>
      </c>
      <c r="E911" t="s">
        <v>17</v>
      </c>
      <c r="F911" t="s">
        <v>21</v>
      </c>
      <c r="G911">
        <v>10626</v>
      </c>
      <c r="H911">
        <v>8</v>
      </c>
      <c r="I911">
        <v>25</v>
      </c>
      <c r="J911" t="s">
        <v>13</v>
      </c>
      <c r="K911" s="4">
        <f>Table1[[#This Row],[Sales]]*Table1[[#This Row],[Quantity]]</f>
        <v>85008</v>
      </c>
      <c r="L911" s="4">
        <f>Table1[[#This Row],[Revenue]]-(Table1[[#This Row],[Revenue]]*Table1[[#This Row],[Discount]]/100)</f>
        <v>63756</v>
      </c>
    </row>
    <row r="912" spans="1:12" x14ac:dyDescent="0.55000000000000004">
      <c r="A912" t="s">
        <v>941</v>
      </c>
      <c r="B912" s="2">
        <v>45048</v>
      </c>
      <c r="C912" t="s">
        <v>31</v>
      </c>
      <c r="D912" t="s">
        <v>16</v>
      </c>
      <c r="E912" t="s">
        <v>11</v>
      </c>
      <c r="F912" t="s">
        <v>48</v>
      </c>
      <c r="G912">
        <v>32968</v>
      </c>
      <c r="H912">
        <v>4</v>
      </c>
      <c r="I912">
        <v>19</v>
      </c>
      <c r="J912" t="s">
        <v>25</v>
      </c>
      <c r="K912" s="4">
        <f>Table1[[#This Row],[Sales]]*Table1[[#This Row],[Quantity]]</f>
        <v>131872</v>
      </c>
      <c r="L912" s="4">
        <f>Table1[[#This Row],[Revenue]]-(Table1[[#This Row],[Revenue]]*Table1[[#This Row],[Discount]]/100)</f>
        <v>106816.32000000001</v>
      </c>
    </row>
    <row r="913" spans="1:12" x14ac:dyDescent="0.55000000000000004">
      <c r="A913" t="s">
        <v>942</v>
      </c>
      <c r="B913" s="2">
        <v>45067</v>
      </c>
      <c r="C913" t="s">
        <v>24</v>
      </c>
      <c r="D913" t="s">
        <v>27</v>
      </c>
      <c r="E913" t="s">
        <v>17</v>
      </c>
      <c r="F913" t="s">
        <v>38</v>
      </c>
      <c r="G913">
        <v>22073</v>
      </c>
      <c r="H913">
        <v>3</v>
      </c>
      <c r="I913">
        <v>11</v>
      </c>
      <c r="J913" t="s">
        <v>25</v>
      </c>
      <c r="K913" s="4">
        <f>Table1[[#This Row],[Sales]]*Table1[[#This Row],[Quantity]]</f>
        <v>66219</v>
      </c>
      <c r="L913" s="4">
        <f>Table1[[#This Row],[Revenue]]-(Table1[[#This Row],[Revenue]]*Table1[[#This Row],[Discount]]/100)</f>
        <v>58934.91</v>
      </c>
    </row>
    <row r="914" spans="1:12" x14ac:dyDescent="0.55000000000000004">
      <c r="A914" t="s">
        <v>943</v>
      </c>
      <c r="B914" s="2">
        <v>45069</v>
      </c>
      <c r="C914" t="s">
        <v>15</v>
      </c>
      <c r="D914" t="s">
        <v>37</v>
      </c>
      <c r="E914" t="s">
        <v>11</v>
      </c>
      <c r="F914" t="s">
        <v>12</v>
      </c>
      <c r="G914">
        <v>13039</v>
      </c>
      <c r="H914">
        <v>7</v>
      </c>
      <c r="I914">
        <v>21</v>
      </c>
      <c r="J914" t="s">
        <v>22</v>
      </c>
      <c r="K914" s="4">
        <f>Table1[[#This Row],[Sales]]*Table1[[#This Row],[Quantity]]</f>
        <v>91273</v>
      </c>
      <c r="L914" s="4">
        <f>Table1[[#This Row],[Revenue]]-(Table1[[#This Row],[Revenue]]*Table1[[#This Row],[Discount]]/100)</f>
        <v>72105.67</v>
      </c>
    </row>
    <row r="915" spans="1:12" x14ac:dyDescent="0.55000000000000004">
      <c r="A915" t="s">
        <v>944</v>
      </c>
      <c r="B915" s="2">
        <v>45057</v>
      </c>
      <c r="C915" t="s">
        <v>15</v>
      </c>
      <c r="D915" t="s">
        <v>46</v>
      </c>
      <c r="E915" t="s">
        <v>11</v>
      </c>
      <c r="F915" t="s">
        <v>38</v>
      </c>
      <c r="G915">
        <v>21538</v>
      </c>
      <c r="H915">
        <v>8</v>
      </c>
      <c r="I915">
        <v>11</v>
      </c>
      <c r="J915" t="s">
        <v>13</v>
      </c>
      <c r="K915" s="4">
        <f>Table1[[#This Row],[Sales]]*Table1[[#This Row],[Quantity]]</f>
        <v>172304</v>
      </c>
      <c r="L915" s="4">
        <f>Table1[[#This Row],[Revenue]]-(Table1[[#This Row],[Revenue]]*Table1[[#This Row],[Discount]]/100)</f>
        <v>153350.56</v>
      </c>
    </row>
    <row r="916" spans="1:12" x14ac:dyDescent="0.55000000000000004">
      <c r="A916" t="s">
        <v>945</v>
      </c>
      <c r="B916" s="2">
        <v>44983</v>
      </c>
      <c r="C916" t="s">
        <v>24</v>
      </c>
      <c r="D916" t="s">
        <v>27</v>
      </c>
      <c r="E916" t="s">
        <v>17</v>
      </c>
      <c r="F916" t="s">
        <v>44</v>
      </c>
      <c r="G916">
        <v>4192</v>
      </c>
      <c r="H916">
        <v>1</v>
      </c>
      <c r="I916">
        <v>17</v>
      </c>
      <c r="J916" t="s">
        <v>25</v>
      </c>
      <c r="K916" s="4">
        <f>Table1[[#This Row],[Sales]]*Table1[[#This Row],[Quantity]]</f>
        <v>4192</v>
      </c>
      <c r="L916" s="4">
        <f>Table1[[#This Row],[Revenue]]-(Table1[[#This Row],[Revenue]]*Table1[[#This Row],[Discount]]/100)</f>
        <v>3479.36</v>
      </c>
    </row>
    <row r="917" spans="1:12" x14ac:dyDescent="0.55000000000000004">
      <c r="A917" t="s">
        <v>946</v>
      </c>
      <c r="B917" s="2">
        <v>44942</v>
      </c>
      <c r="C917" t="s">
        <v>15</v>
      </c>
      <c r="D917" t="s">
        <v>20</v>
      </c>
      <c r="E917" t="s">
        <v>11</v>
      </c>
      <c r="F917" t="s">
        <v>12</v>
      </c>
      <c r="G917">
        <v>47208</v>
      </c>
      <c r="H917">
        <v>10</v>
      </c>
      <c r="I917">
        <v>30</v>
      </c>
      <c r="J917" t="s">
        <v>13</v>
      </c>
      <c r="K917" s="4">
        <f>Table1[[#This Row],[Sales]]*Table1[[#This Row],[Quantity]]</f>
        <v>472080</v>
      </c>
      <c r="L917" s="4">
        <f>Table1[[#This Row],[Revenue]]-(Table1[[#This Row],[Revenue]]*Table1[[#This Row],[Discount]]/100)</f>
        <v>330456</v>
      </c>
    </row>
    <row r="918" spans="1:12" x14ac:dyDescent="0.55000000000000004">
      <c r="A918" t="s">
        <v>947</v>
      </c>
      <c r="B918" s="2">
        <v>45188</v>
      </c>
      <c r="C918" t="s">
        <v>24</v>
      </c>
      <c r="D918" t="s">
        <v>20</v>
      </c>
      <c r="E918" t="s">
        <v>17</v>
      </c>
      <c r="F918" t="s">
        <v>12</v>
      </c>
      <c r="G918">
        <v>48837</v>
      </c>
      <c r="H918">
        <v>7</v>
      </c>
      <c r="I918">
        <v>1</v>
      </c>
      <c r="J918" t="s">
        <v>25</v>
      </c>
      <c r="K918" s="4">
        <f>Table1[[#This Row],[Sales]]*Table1[[#This Row],[Quantity]]</f>
        <v>341859</v>
      </c>
      <c r="L918" s="4">
        <f>Table1[[#This Row],[Revenue]]-(Table1[[#This Row],[Revenue]]*Table1[[#This Row],[Discount]]/100)</f>
        <v>338440.41</v>
      </c>
    </row>
    <row r="919" spans="1:12" x14ac:dyDescent="0.55000000000000004">
      <c r="A919" t="s">
        <v>948</v>
      </c>
      <c r="B919" s="2">
        <v>44998</v>
      </c>
      <c r="C919" t="s">
        <v>24</v>
      </c>
      <c r="D919" t="s">
        <v>16</v>
      </c>
      <c r="E919" t="s">
        <v>17</v>
      </c>
      <c r="F919" t="s">
        <v>38</v>
      </c>
      <c r="G919">
        <v>48212</v>
      </c>
      <c r="H919">
        <v>3</v>
      </c>
      <c r="I919">
        <v>5</v>
      </c>
      <c r="J919" t="s">
        <v>25</v>
      </c>
      <c r="K919" s="4">
        <f>Table1[[#This Row],[Sales]]*Table1[[#This Row],[Quantity]]</f>
        <v>144636</v>
      </c>
      <c r="L919" s="4">
        <f>Table1[[#This Row],[Revenue]]-(Table1[[#This Row],[Revenue]]*Table1[[#This Row],[Discount]]/100)</f>
        <v>137404.20000000001</v>
      </c>
    </row>
    <row r="920" spans="1:12" x14ac:dyDescent="0.55000000000000004">
      <c r="A920" t="s">
        <v>949</v>
      </c>
      <c r="B920" s="2">
        <v>45001</v>
      </c>
      <c r="C920" t="s">
        <v>19</v>
      </c>
      <c r="D920" t="s">
        <v>37</v>
      </c>
      <c r="E920" t="s">
        <v>17</v>
      </c>
      <c r="F920" t="s">
        <v>21</v>
      </c>
      <c r="G920">
        <v>23656</v>
      </c>
      <c r="H920">
        <v>7</v>
      </c>
      <c r="I920">
        <v>19</v>
      </c>
      <c r="J920" t="s">
        <v>25</v>
      </c>
      <c r="K920" s="4">
        <f>Table1[[#This Row],[Sales]]*Table1[[#This Row],[Quantity]]</f>
        <v>165592</v>
      </c>
      <c r="L920" s="4">
        <f>Table1[[#This Row],[Revenue]]-(Table1[[#This Row],[Revenue]]*Table1[[#This Row],[Discount]]/100)</f>
        <v>134129.51999999999</v>
      </c>
    </row>
    <row r="921" spans="1:12" x14ac:dyDescent="0.55000000000000004">
      <c r="A921" t="s">
        <v>950</v>
      </c>
      <c r="B921" s="2">
        <v>45026</v>
      </c>
      <c r="C921" t="s">
        <v>31</v>
      </c>
      <c r="D921" t="s">
        <v>16</v>
      </c>
      <c r="E921" t="s">
        <v>17</v>
      </c>
      <c r="F921" t="s">
        <v>44</v>
      </c>
      <c r="G921">
        <v>18466</v>
      </c>
      <c r="H921">
        <v>10</v>
      </c>
      <c r="I921">
        <v>4</v>
      </c>
      <c r="J921" t="s">
        <v>22</v>
      </c>
      <c r="K921" s="4">
        <f>Table1[[#This Row],[Sales]]*Table1[[#This Row],[Quantity]]</f>
        <v>184660</v>
      </c>
      <c r="L921" s="4">
        <f>Table1[[#This Row],[Revenue]]-(Table1[[#This Row],[Revenue]]*Table1[[#This Row],[Discount]]/100)</f>
        <v>177273.60000000001</v>
      </c>
    </row>
    <row r="922" spans="1:12" x14ac:dyDescent="0.55000000000000004">
      <c r="A922" t="s">
        <v>951</v>
      </c>
      <c r="B922" s="2">
        <v>45126</v>
      </c>
      <c r="C922" t="s">
        <v>15</v>
      </c>
      <c r="D922" t="s">
        <v>37</v>
      </c>
      <c r="E922" t="s">
        <v>17</v>
      </c>
      <c r="F922" t="s">
        <v>38</v>
      </c>
      <c r="G922">
        <v>13861</v>
      </c>
      <c r="H922">
        <v>7</v>
      </c>
      <c r="I922">
        <v>13</v>
      </c>
      <c r="J922" t="s">
        <v>25</v>
      </c>
      <c r="K922" s="4">
        <f>Table1[[#This Row],[Sales]]*Table1[[#This Row],[Quantity]]</f>
        <v>97027</v>
      </c>
      <c r="L922" s="4">
        <f>Table1[[#This Row],[Revenue]]-(Table1[[#This Row],[Revenue]]*Table1[[#This Row],[Discount]]/100)</f>
        <v>84413.49</v>
      </c>
    </row>
    <row r="923" spans="1:12" x14ac:dyDescent="0.55000000000000004">
      <c r="A923" t="s">
        <v>952</v>
      </c>
      <c r="B923" s="2">
        <v>44949</v>
      </c>
      <c r="C923" t="s">
        <v>24</v>
      </c>
      <c r="D923" t="s">
        <v>20</v>
      </c>
      <c r="E923" t="s">
        <v>17</v>
      </c>
      <c r="F923" t="s">
        <v>21</v>
      </c>
      <c r="G923">
        <v>16288</v>
      </c>
      <c r="H923">
        <v>7</v>
      </c>
      <c r="I923">
        <v>3</v>
      </c>
      <c r="J923" t="s">
        <v>22</v>
      </c>
      <c r="K923" s="4">
        <f>Table1[[#This Row],[Sales]]*Table1[[#This Row],[Quantity]]</f>
        <v>114016</v>
      </c>
      <c r="L923" s="4">
        <f>Table1[[#This Row],[Revenue]]-(Table1[[#This Row],[Revenue]]*Table1[[#This Row],[Discount]]/100)</f>
        <v>110595.52</v>
      </c>
    </row>
    <row r="924" spans="1:12" x14ac:dyDescent="0.55000000000000004">
      <c r="A924" t="s">
        <v>953</v>
      </c>
      <c r="B924" s="2">
        <v>45281</v>
      </c>
      <c r="C924" t="s">
        <v>24</v>
      </c>
      <c r="D924" t="s">
        <v>20</v>
      </c>
      <c r="E924" t="s">
        <v>17</v>
      </c>
      <c r="F924" t="s">
        <v>29</v>
      </c>
      <c r="G924">
        <v>5113</v>
      </c>
      <c r="H924">
        <v>4</v>
      </c>
      <c r="I924">
        <v>5</v>
      </c>
      <c r="J924" t="s">
        <v>22</v>
      </c>
      <c r="K924" s="4">
        <f>Table1[[#This Row],[Sales]]*Table1[[#This Row],[Quantity]]</f>
        <v>20452</v>
      </c>
      <c r="L924" s="4">
        <f>Table1[[#This Row],[Revenue]]-(Table1[[#This Row],[Revenue]]*Table1[[#This Row],[Discount]]/100)</f>
        <v>19429.400000000001</v>
      </c>
    </row>
    <row r="925" spans="1:12" x14ac:dyDescent="0.55000000000000004">
      <c r="A925" t="s">
        <v>954</v>
      </c>
      <c r="B925" s="2">
        <v>44930</v>
      </c>
      <c r="C925" t="s">
        <v>15</v>
      </c>
      <c r="D925" t="s">
        <v>37</v>
      </c>
      <c r="E925" t="s">
        <v>17</v>
      </c>
      <c r="F925" t="s">
        <v>21</v>
      </c>
      <c r="G925">
        <v>41626</v>
      </c>
      <c r="H925">
        <v>10</v>
      </c>
      <c r="I925">
        <v>22</v>
      </c>
      <c r="J925" t="s">
        <v>13</v>
      </c>
      <c r="K925" s="4">
        <f>Table1[[#This Row],[Sales]]*Table1[[#This Row],[Quantity]]</f>
        <v>416260</v>
      </c>
      <c r="L925" s="4">
        <f>Table1[[#This Row],[Revenue]]-(Table1[[#This Row],[Revenue]]*Table1[[#This Row],[Discount]]/100)</f>
        <v>324682.8</v>
      </c>
    </row>
    <row r="926" spans="1:12" x14ac:dyDescent="0.55000000000000004">
      <c r="A926" t="s">
        <v>955</v>
      </c>
      <c r="B926" s="2">
        <v>45093</v>
      </c>
      <c r="C926" t="s">
        <v>31</v>
      </c>
      <c r="D926" t="s">
        <v>20</v>
      </c>
      <c r="E926" t="s">
        <v>11</v>
      </c>
      <c r="F926" t="s">
        <v>21</v>
      </c>
      <c r="G926">
        <v>33096</v>
      </c>
      <c r="H926">
        <v>10</v>
      </c>
      <c r="I926">
        <v>5</v>
      </c>
      <c r="J926" t="s">
        <v>25</v>
      </c>
      <c r="K926" s="4">
        <f>Table1[[#This Row],[Sales]]*Table1[[#This Row],[Quantity]]</f>
        <v>330960</v>
      </c>
      <c r="L926" s="4">
        <f>Table1[[#This Row],[Revenue]]-(Table1[[#This Row],[Revenue]]*Table1[[#This Row],[Discount]]/100)</f>
        <v>314412</v>
      </c>
    </row>
    <row r="927" spans="1:12" x14ac:dyDescent="0.55000000000000004">
      <c r="A927" t="s">
        <v>956</v>
      </c>
      <c r="B927" s="2">
        <v>45148</v>
      </c>
      <c r="C927" t="s">
        <v>31</v>
      </c>
      <c r="D927" t="s">
        <v>20</v>
      </c>
      <c r="E927" t="s">
        <v>11</v>
      </c>
      <c r="F927" t="s">
        <v>44</v>
      </c>
      <c r="G927">
        <v>38611</v>
      </c>
      <c r="H927">
        <v>6</v>
      </c>
      <c r="I927">
        <v>19</v>
      </c>
      <c r="J927" t="s">
        <v>13</v>
      </c>
      <c r="K927" s="4">
        <f>Table1[[#This Row],[Sales]]*Table1[[#This Row],[Quantity]]</f>
        <v>231666</v>
      </c>
      <c r="L927" s="4">
        <f>Table1[[#This Row],[Revenue]]-(Table1[[#This Row],[Revenue]]*Table1[[#This Row],[Discount]]/100)</f>
        <v>187649.46</v>
      </c>
    </row>
    <row r="928" spans="1:12" x14ac:dyDescent="0.55000000000000004">
      <c r="A928" t="s">
        <v>957</v>
      </c>
      <c r="B928" s="2">
        <v>45213</v>
      </c>
      <c r="C928" t="s">
        <v>19</v>
      </c>
      <c r="D928" t="s">
        <v>16</v>
      </c>
      <c r="E928" t="s">
        <v>11</v>
      </c>
      <c r="F928" t="s">
        <v>21</v>
      </c>
      <c r="G928">
        <v>232</v>
      </c>
      <c r="H928">
        <v>10</v>
      </c>
      <c r="I928">
        <v>23</v>
      </c>
      <c r="J928" t="s">
        <v>13</v>
      </c>
      <c r="K928" s="4">
        <f>Table1[[#This Row],[Sales]]*Table1[[#This Row],[Quantity]]</f>
        <v>2320</v>
      </c>
      <c r="L928" s="4">
        <f>Table1[[#This Row],[Revenue]]-(Table1[[#This Row],[Revenue]]*Table1[[#This Row],[Discount]]/100)</f>
        <v>1786.4</v>
      </c>
    </row>
    <row r="929" spans="1:12" x14ac:dyDescent="0.55000000000000004">
      <c r="A929" t="s">
        <v>958</v>
      </c>
      <c r="B929" s="2">
        <v>45145</v>
      </c>
      <c r="C929" t="s">
        <v>24</v>
      </c>
      <c r="D929" t="s">
        <v>16</v>
      </c>
      <c r="E929" t="s">
        <v>11</v>
      </c>
      <c r="F929" t="s">
        <v>29</v>
      </c>
      <c r="G929">
        <v>5165</v>
      </c>
      <c r="H929">
        <v>6</v>
      </c>
      <c r="I929">
        <v>23</v>
      </c>
      <c r="J929" t="s">
        <v>25</v>
      </c>
      <c r="K929" s="4">
        <f>Table1[[#This Row],[Sales]]*Table1[[#This Row],[Quantity]]</f>
        <v>30990</v>
      </c>
      <c r="L929" s="4">
        <f>Table1[[#This Row],[Revenue]]-(Table1[[#This Row],[Revenue]]*Table1[[#This Row],[Discount]]/100)</f>
        <v>23862.3</v>
      </c>
    </row>
    <row r="930" spans="1:12" x14ac:dyDescent="0.55000000000000004">
      <c r="A930" t="s">
        <v>959</v>
      </c>
      <c r="B930" s="2">
        <v>45118</v>
      </c>
      <c r="C930" t="s">
        <v>15</v>
      </c>
      <c r="D930" t="s">
        <v>27</v>
      </c>
      <c r="E930" t="s">
        <v>11</v>
      </c>
      <c r="F930" t="s">
        <v>21</v>
      </c>
      <c r="G930">
        <v>46401</v>
      </c>
      <c r="H930">
        <v>1</v>
      </c>
      <c r="I930">
        <v>28</v>
      </c>
      <c r="J930" t="s">
        <v>13</v>
      </c>
      <c r="K930" s="4">
        <f>Table1[[#This Row],[Sales]]*Table1[[#This Row],[Quantity]]</f>
        <v>46401</v>
      </c>
      <c r="L930" s="4">
        <f>Table1[[#This Row],[Revenue]]-(Table1[[#This Row],[Revenue]]*Table1[[#This Row],[Discount]]/100)</f>
        <v>33408.720000000001</v>
      </c>
    </row>
    <row r="931" spans="1:12" x14ac:dyDescent="0.55000000000000004">
      <c r="A931" t="s">
        <v>960</v>
      </c>
      <c r="B931" s="2">
        <v>44992</v>
      </c>
      <c r="C931" t="s">
        <v>31</v>
      </c>
      <c r="D931" t="s">
        <v>46</v>
      </c>
      <c r="E931" t="s">
        <v>17</v>
      </c>
      <c r="F931" t="s">
        <v>29</v>
      </c>
      <c r="G931">
        <v>12113</v>
      </c>
      <c r="H931">
        <v>1</v>
      </c>
      <c r="I931">
        <v>15</v>
      </c>
      <c r="J931" t="s">
        <v>22</v>
      </c>
      <c r="K931" s="4">
        <f>Table1[[#This Row],[Sales]]*Table1[[#This Row],[Quantity]]</f>
        <v>12113</v>
      </c>
      <c r="L931" s="4">
        <f>Table1[[#This Row],[Revenue]]-(Table1[[#This Row],[Revenue]]*Table1[[#This Row],[Discount]]/100)</f>
        <v>10296.049999999999</v>
      </c>
    </row>
    <row r="932" spans="1:12" x14ac:dyDescent="0.55000000000000004">
      <c r="A932" t="s">
        <v>961</v>
      </c>
      <c r="B932" s="2">
        <v>44972</v>
      </c>
      <c r="C932" t="s">
        <v>15</v>
      </c>
      <c r="D932" t="s">
        <v>20</v>
      </c>
      <c r="E932" t="s">
        <v>11</v>
      </c>
      <c r="F932" t="s">
        <v>38</v>
      </c>
      <c r="G932">
        <v>36598</v>
      </c>
      <c r="H932">
        <v>6</v>
      </c>
      <c r="I932">
        <v>19</v>
      </c>
      <c r="J932" t="s">
        <v>22</v>
      </c>
      <c r="K932" s="4">
        <f>Table1[[#This Row],[Sales]]*Table1[[#This Row],[Quantity]]</f>
        <v>219588</v>
      </c>
      <c r="L932" s="4">
        <f>Table1[[#This Row],[Revenue]]-(Table1[[#This Row],[Revenue]]*Table1[[#This Row],[Discount]]/100)</f>
        <v>177866.28</v>
      </c>
    </row>
    <row r="933" spans="1:12" x14ac:dyDescent="0.55000000000000004">
      <c r="A933" t="s">
        <v>962</v>
      </c>
      <c r="B933" s="2">
        <v>45043</v>
      </c>
      <c r="C933" t="s">
        <v>31</v>
      </c>
      <c r="D933" t="s">
        <v>37</v>
      </c>
      <c r="E933" t="s">
        <v>11</v>
      </c>
      <c r="F933" t="s">
        <v>38</v>
      </c>
      <c r="G933">
        <v>23839</v>
      </c>
      <c r="H933">
        <v>2</v>
      </c>
      <c r="I933">
        <v>22</v>
      </c>
      <c r="J933" t="s">
        <v>22</v>
      </c>
      <c r="K933" s="4">
        <f>Table1[[#This Row],[Sales]]*Table1[[#This Row],[Quantity]]</f>
        <v>47678</v>
      </c>
      <c r="L933" s="4">
        <f>Table1[[#This Row],[Revenue]]-(Table1[[#This Row],[Revenue]]*Table1[[#This Row],[Discount]]/100)</f>
        <v>37188.839999999997</v>
      </c>
    </row>
    <row r="934" spans="1:12" x14ac:dyDescent="0.55000000000000004">
      <c r="A934" t="s">
        <v>963</v>
      </c>
      <c r="B934" s="2">
        <v>45084</v>
      </c>
      <c r="C934" t="s">
        <v>24</v>
      </c>
      <c r="D934" t="s">
        <v>20</v>
      </c>
      <c r="E934" t="s">
        <v>17</v>
      </c>
      <c r="F934" t="s">
        <v>44</v>
      </c>
      <c r="G934">
        <v>26481</v>
      </c>
      <c r="H934">
        <v>2</v>
      </c>
      <c r="I934">
        <v>29</v>
      </c>
      <c r="J934" t="s">
        <v>22</v>
      </c>
      <c r="K934" s="4">
        <f>Table1[[#This Row],[Sales]]*Table1[[#This Row],[Quantity]]</f>
        <v>52962</v>
      </c>
      <c r="L934" s="4">
        <f>Table1[[#This Row],[Revenue]]-(Table1[[#This Row],[Revenue]]*Table1[[#This Row],[Discount]]/100)</f>
        <v>37603.020000000004</v>
      </c>
    </row>
    <row r="935" spans="1:12" x14ac:dyDescent="0.55000000000000004">
      <c r="A935" t="s">
        <v>964</v>
      </c>
      <c r="B935" s="2">
        <v>45198</v>
      </c>
      <c r="C935" t="s">
        <v>15</v>
      </c>
      <c r="D935" t="s">
        <v>37</v>
      </c>
      <c r="E935" t="s">
        <v>17</v>
      </c>
      <c r="F935" t="s">
        <v>38</v>
      </c>
      <c r="G935">
        <v>7940</v>
      </c>
      <c r="H935">
        <v>10</v>
      </c>
      <c r="I935">
        <v>8</v>
      </c>
      <c r="J935" t="s">
        <v>22</v>
      </c>
      <c r="K935" s="4">
        <f>Table1[[#This Row],[Sales]]*Table1[[#This Row],[Quantity]]</f>
        <v>79400</v>
      </c>
      <c r="L935" s="4">
        <f>Table1[[#This Row],[Revenue]]-(Table1[[#This Row],[Revenue]]*Table1[[#This Row],[Discount]]/100)</f>
        <v>73048</v>
      </c>
    </row>
    <row r="936" spans="1:12" x14ac:dyDescent="0.55000000000000004">
      <c r="A936" t="s">
        <v>965</v>
      </c>
      <c r="B936" s="2">
        <v>45013</v>
      </c>
      <c r="C936" t="s">
        <v>31</v>
      </c>
      <c r="D936" t="s">
        <v>37</v>
      </c>
      <c r="E936" t="s">
        <v>17</v>
      </c>
      <c r="F936" t="s">
        <v>44</v>
      </c>
      <c r="G936">
        <v>47879</v>
      </c>
      <c r="H936">
        <v>1</v>
      </c>
      <c r="I936">
        <v>7</v>
      </c>
      <c r="J936" t="s">
        <v>22</v>
      </c>
      <c r="K936" s="4">
        <f>Table1[[#This Row],[Sales]]*Table1[[#This Row],[Quantity]]</f>
        <v>47879</v>
      </c>
      <c r="L936" s="4">
        <f>Table1[[#This Row],[Revenue]]-(Table1[[#This Row],[Revenue]]*Table1[[#This Row],[Discount]]/100)</f>
        <v>44527.47</v>
      </c>
    </row>
    <row r="937" spans="1:12" x14ac:dyDescent="0.55000000000000004">
      <c r="A937" t="s">
        <v>966</v>
      </c>
      <c r="B937" s="2">
        <v>45084</v>
      </c>
      <c r="C937" t="s">
        <v>15</v>
      </c>
      <c r="D937" t="s">
        <v>27</v>
      </c>
      <c r="E937" t="s">
        <v>17</v>
      </c>
      <c r="F937" t="s">
        <v>48</v>
      </c>
      <c r="G937">
        <v>30340</v>
      </c>
      <c r="H937">
        <v>2</v>
      </c>
      <c r="I937">
        <v>19</v>
      </c>
      <c r="J937" t="s">
        <v>25</v>
      </c>
      <c r="K937" s="4">
        <f>Table1[[#This Row],[Sales]]*Table1[[#This Row],[Quantity]]</f>
        <v>60680</v>
      </c>
      <c r="L937" s="4">
        <f>Table1[[#This Row],[Revenue]]-(Table1[[#This Row],[Revenue]]*Table1[[#This Row],[Discount]]/100)</f>
        <v>49150.8</v>
      </c>
    </row>
    <row r="938" spans="1:12" x14ac:dyDescent="0.55000000000000004">
      <c r="A938" t="s">
        <v>967</v>
      </c>
      <c r="B938" s="2">
        <v>44952</v>
      </c>
      <c r="C938" t="s">
        <v>15</v>
      </c>
      <c r="D938" t="s">
        <v>16</v>
      </c>
      <c r="E938" t="s">
        <v>11</v>
      </c>
      <c r="F938" t="s">
        <v>38</v>
      </c>
      <c r="G938">
        <v>44925</v>
      </c>
      <c r="H938">
        <v>9</v>
      </c>
      <c r="I938">
        <v>30</v>
      </c>
      <c r="J938" t="s">
        <v>25</v>
      </c>
      <c r="K938" s="4">
        <f>Table1[[#This Row],[Sales]]*Table1[[#This Row],[Quantity]]</f>
        <v>404325</v>
      </c>
      <c r="L938" s="4">
        <f>Table1[[#This Row],[Revenue]]-(Table1[[#This Row],[Revenue]]*Table1[[#This Row],[Discount]]/100)</f>
        <v>283027.5</v>
      </c>
    </row>
    <row r="939" spans="1:12" x14ac:dyDescent="0.55000000000000004">
      <c r="A939" t="s">
        <v>968</v>
      </c>
      <c r="B939" s="2">
        <v>45039</v>
      </c>
      <c r="C939" t="s">
        <v>24</v>
      </c>
      <c r="D939" t="s">
        <v>16</v>
      </c>
      <c r="E939" t="s">
        <v>17</v>
      </c>
      <c r="F939" t="s">
        <v>34</v>
      </c>
      <c r="G939">
        <v>5913</v>
      </c>
      <c r="H939">
        <v>8</v>
      </c>
      <c r="I939">
        <v>18</v>
      </c>
      <c r="J939" t="s">
        <v>25</v>
      </c>
      <c r="K939" s="4">
        <f>Table1[[#This Row],[Sales]]*Table1[[#This Row],[Quantity]]</f>
        <v>47304</v>
      </c>
      <c r="L939" s="4">
        <f>Table1[[#This Row],[Revenue]]-(Table1[[#This Row],[Revenue]]*Table1[[#This Row],[Discount]]/100)</f>
        <v>38789.279999999999</v>
      </c>
    </row>
    <row r="940" spans="1:12" x14ac:dyDescent="0.55000000000000004">
      <c r="A940" t="s">
        <v>969</v>
      </c>
      <c r="B940" s="2">
        <v>45075</v>
      </c>
      <c r="C940" t="s">
        <v>19</v>
      </c>
      <c r="D940" t="s">
        <v>27</v>
      </c>
      <c r="E940" t="s">
        <v>17</v>
      </c>
      <c r="F940" t="s">
        <v>21</v>
      </c>
      <c r="G940">
        <v>29825</v>
      </c>
      <c r="H940">
        <v>10</v>
      </c>
      <c r="I940">
        <v>25</v>
      </c>
      <c r="J940" t="s">
        <v>22</v>
      </c>
      <c r="K940" s="4">
        <f>Table1[[#This Row],[Sales]]*Table1[[#This Row],[Quantity]]</f>
        <v>298250</v>
      </c>
      <c r="L940" s="4">
        <f>Table1[[#This Row],[Revenue]]-(Table1[[#This Row],[Revenue]]*Table1[[#This Row],[Discount]]/100)</f>
        <v>223687.5</v>
      </c>
    </row>
    <row r="941" spans="1:12" x14ac:dyDescent="0.55000000000000004">
      <c r="A941" t="s">
        <v>970</v>
      </c>
      <c r="B941" s="2">
        <v>45197</v>
      </c>
      <c r="C941" t="s">
        <v>24</v>
      </c>
      <c r="D941" t="s">
        <v>37</v>
      </c>
      <c r="E941" t="s">
        <v>17</v>
      </c>
      <c r="F941" t="s">
        <v>29</v>
      </c>
      <c r="G941">
        <v>2496</v>
      </c>
      <c r="H941">
        <v>3</v>
      </c>
      <c r="I941">
        <v>30</v>
      </c>
      <c r="J941" t="s">
        <v>25</v>
      </c>
      <c r="K941" s="4">
        <f>Table1[[#This Row],[Sales]]*Table1[[#This Row],[Quantity]]</f>
        <v>7488</v>
      </c>
      <c r="L941" s="4">
        <f>Table1[[#This Row],[Revenue]]-(Table1[[#This Row],[Revenue]]*Table1[[#This Row],[Discount]]/100)</f>
        <v>5241.6000000000004</v>
      </c>
    </row>
    <row r="942" spans="1:12" x14ac:dyDescent="0.55000000000000004">
      <c r="A942" t="s">
        <v>971</v>
      </c>
      <c r="B942" s="2">
        <v>44974</v>
      </c>
      <c r="C942" t="s">
        <v>24</v>
      </c>
      <c r="D942" t="s">
        <v>37</v>
      </c>
      <c r="E942" t="s">
        <v>17</v>
      </c>
      <c r="F942" t="s">
        <v>48</v>
      </c>
      <c r="G942">
        <v>15013</v>
      </c>
      <c r="H942">
        <v>5</v>
      </c>
      <c r="I942">
        <v>26</v>
      </c>
      <c r="J942" t="s">
        <v>22</v>
      </c>
      <c r="K942" s="4">
        <f>Table1[[#This Row],[Sales]]*Table1[[#This Row],[Quantity]]</f>
        <v>75065</v>
      </c>
      <c r="L942" s="4">
        <f>Table1[[#This Row],[Revenue]]-(Table1[[#This Row],[Revenue]]*Table1[[#This Row],[Discount]]/100)</f>
        <v>55548.1</v>
      </c>
    </row>
    <row r="943" spans="1:12" x14ac:dyDescent="0.55000000000000004">
      <c r="A943" t="s">
        <v>972</v>
      </c>
      <c r="B943" s="2">
        <v>45004</v>
      </c>
      <c r="C943" t="s">
        <v>24</v>
      </c>
      <c r="D943" t="s">
        <v>27</v>
      </c>
      <c r="E943" t="s">
        <v>17</v>
      </c>
      <c r="F943" t="s">
        <v>34</v>
      </c>
      <c r="G943">
        <v>35333</v>
      </c>
      <c r="H943">
        <v>8</v>
      </c>
      <c r="I943">
        <v>15</v>
      </c>
      <c r="J943" t="s">
        <v>25</v>
      </c>
      <c r="K943" s="4">
        <f>Table1[[#This Row],[Sales]]*Table1[[#This Row],[Quantity]]</f>
        <v>282664</v>
      </c>
      <c r="L943" s="4">
        <f>Table1[[#This Row],[Revenue]]-(Table1[[#This Row],[Revenue]]*Table1[[#This Row],[Discount]]/100)</f>
        <v>240264.4</v>
      </c>
    </row>
    <row r="944" spans="1:12" x14ac:dyDescent="0.55000000000000004">
      <c r="A944" t="s">
        <v>973</v>
      </c>
      <c r="B944" s="2">
        <v>45105</v>
      </c>
      <c r="C944" t="s">
        <v>24</v>
      </c>
      <c r="D944" t="s">
        <v>16</v>
      </c>
      <c r="E944" t="s">
        <v>17</v>
      </c>
      <c r="F944" t="s">
        <v>34</v>
      </c>
      <c r="G944">
        <v>15325</v>
      </c>
      <c r="H944">
        <v>6</v>
      </c>
      <c r="I944">
        <v>6</v>
      </c>
      <c r="J944" t="s">
        <v>25</v>
      </c>
      <c r="K944" s="4">
        <f>Table1[[#This Row],[Sales]]*Table1[[#This Row],[Quantity]]</f>
        <v>91950</v>
      </c>
      <c r="L944" s="4">
        <f>Table1[[#This Row],[Revenue]]-(Table1[[#This Row],[Revenue]]*Table1[[#This Row],[Discount]]/100)</f>
        <v>86433</v>
      </c>
    </row>
    <row r="945" spans="1:12" x14ac:dyDescent="0.55000000000000004">
      <c r="A945" t="s">
        <v>974</v>
      </c>
      <c r="B945" s="2">
        <v>45056</v>
      </c>
      <c r="C945" t="s">
        <v>15</v>
      </c>
      <c r="D945" t="s">
        <v>16</v>
      </c>
      <c r="E945" t="s">
        <v>11</v>
      </c>
      <c r="F945" t="s">
        <v>12</v>
      </c>
      <c r="G945">
        <v>15963</v>
      </c>
      <c r="H945">
        <v>2</v>
      </c>
      <c r="I945">
        <v>22</v>
      </c>
      <c r="J945" t="s">
        <v>13</v>
      </c>
      <c r="K945" s="4">
        <f>Table1[[#This Row],[Sales]]*Table1[[#This Row],[Quantity]]</f>
        <v>31926</v>
      </c>
      <c r="L945" s="4">
        <f>Table1[[#This Row],[Revenue]]-(Table1[[#This Row],[Revenue]]*Table1[[#This Row],[Discount]]/100)</f>
        <v>24902.28</v>
      </c>
    </row>
    <row r="946" spans="1:12" x14ac:dyDescent="0.55000000000000004">
      <c r="A946" t="s">
        <v>975</v>
      </c>
      <c r="B946" s="2">
        <v>45234</v>
      </c>
      <c r="C946" t="s">
        <v>24</v>
      </c>
      <c r="D946" t="s">
        <v>20</v>
      </c>
      <c r="E946" t="s">
        <v>17</v>
      </c>
      <c r="F946" t="s">
        <v>48</v>
      </c>
      <c r="G946">
        <v>31930</v>
      </c>
      <c r="H946">
        <v>10</v>
      </c>
      <c r="I946">
        <v>12</v>
      </c>
      <c r="J946" t="s">
        <v>25</v>
      </c>
      <c r="K946" s="4">
        <f>Table1[[#This Row],[Sales]]*Table1[[#This Row],[Quantity]]</f>
        <v>319300</v>
      </c>
      <c r="L946" s="4">
        <f>Table1[[#This Row],[Revenue]]-(Table1[[#This Row],[Revenue]]*Table1[[#This Row],[Discount]]/100)</f>
        <v>280984</v>
      </c>
    </row>
    <row r="947" spans="1:12" x14ac:dyDescent="0.55000000000000004">
      <c r="A947" t="s">
        <v>976</v>
      </c>
      <c r="B947" s="2">
        <v>45065</v>
      </c>
      <c r="C947" t="s">
        <v>24</v>
      </c>
      <c r="D947" t="s">
        <v>16</v>
      </c>
      <c r="E947" t="s">
        <v>17</v>
      </c>
      <c r="F947" t="s">
        <v>38</v>
      </c>
      <c r="G947">
        <v>9049</v>
      </c>
      <c r="H947">
        <v>7</v>
      </c>
      <c r="I947">
        <v>6</v>
      </c>
      <c r="J947" t="s">
        <v>13</v>
      </c>
      <c r="K947" s="4">
        <f>Table1[[#This Row],[Sales]]*Table1[[#This Row],[Quantity]]</f>
        <v>63343</v>
      </c>
      <c r="L947" s="4">
        <f>Table1[[#This Row],[Revenue]]-(Table1[[#This Row],[Revenue]]*Table1[[#This Row],[Discount]]/100)</f>
        <v>59542.42</v>
      </c>
    </row>
    <row r="948" spans="1:12" x14ac:dyDescent="0.55000000000000004">
      <c r="A948" t="s">
        <v>977</v>
      </c>
      <c r="B948" s="2">
        <v>44990</v>
      </c>
      <c r="C948" t="s">
        <v>15</v>
      </c>
      <c r="D948" t="s">
        <v>37</v>
      </c>
      <c r="E948" t="s">
        <v>17</v>
      </c>
      <c r="F948" t="s">
        <v>48</v>
      </c>
      <c r="G948">
        <v>13793</v>
      </c>
      <c r="H948">
        <v>10</v>
      </c>
      <c r="I948">
        <v>19</v>
      </c>
      <c r="J948" t="s">
        <v>22</v>
      </c>
      <c r="K948" s="4">
        <f>Table1[[#This Row],[Sales]]*Table1[[#This Row],[Quantity]]</f>
        <v>137930</v>
      </c>
      <c r="L948" s="4">
        <f>Table1[[#This Row],[Revenue]]-(Table1[[#This Row],[Revenue]]*Table1[[#This Row],[Discount]]/100)</f>
        <v>111723.3</v>
      </c>
    </row>
    <row r="949" spans="1:12" x14ac:dyDescent="0.55000000000000004">
      <c r="A949" t="s">
        <v>978</v>
      </c>
      <c r="B949" s="2">
        <v>45095</v>
      </c>
      <c r="C949" t="s">
        <v>24</v>
      </c>
      <c r="D949" t="s">
        <v>46</v>
      </c>
      <c r="E949" t="s">
        <v>17</v>
      </c>
      <c r="F949" t="s">
        <v>21</v>
      </c>
      <c r="G949">
        <v>7811</v>
      </c>
      <c r="H949">
        <v>7</v>
      </c>
      <c r="I949">
        <v>28</v>
      </c>
      <c r="J949" t="s">
        <v>25</v>
      </c>
      <c r="K949" s="4">
        <f>Table1[[#This Row],[Sales]]*Table1[[#This Row],[Quantity]]</f>
        <v>54677</v>
      </c>
      <c r="L949" s="4">
        <f>Table1[[#This Row],[Revenue]]-(Table1[[#This Row],[Revenue]]*Table1[[#This Row],[Discount]]/100)</f>
        <v>39367.440000000002</v>
      </c>
    </row>
    <row r="950" spans="1:12" x14ac:dyDescent="0.55000000000000004">
      <c r="A950" t="s">
        <v>979</v>
      </c>
      <c r="B950" s="2">
        <v>45188</v>
      </c>
      <c r="C950" t="s">
        <v>24</v>
      </c>
      <c r="D950" t="s">
        <v>46</v>
      </c>
      <c r="E950" t="s">
        <v>11</v>
      </c>
      <c r="F950" t="s">
        <v>12</v>
      </c>
      <c r="G950">
        <v>17995</v>
      </c>
      <c r="H950">
        <v>1</v>
      </c>
      <c r="I950">
        <v>21</v>
      </c>
      <c r="J950" t="s">
        <v>13</v>
      </c>
      <c r="K950" s="4">
        <f>Table1[[#This Row],[Sales]]*Table1[[#This Row],[Quantity]]</f>
        <v>17995</v>
      </c>
      <c r="L950" s="4">
        <f>Table1[[#This Row],[Revenue]]-(Table1[[#This Row],[Revenue]]*Table1[[#This Row],[Discount]]/100)</f>
        <v>14216.05</v>
      </c>
    </row>
    <row r="951" spans="1:12" x14ac:dyDescent="0.55000000000000004">
      <c r="A951" t="s">
        <v>980</v>
      </c>
      <c r="B951" s="2">
        <v>45182</v>
      </c>
      <c r="C951" t="s">
        <v>19</v>
      </c>
      <c r="D951" t="s">
        <v>16</v>
      </c>
      <c r="E951" t="s">
        <v>17</v>
      </c>
      <c r="F951" t="s">
        <v>44</v>
      </c>
      <c r="G951">
        <v>6595</v>
      </c>
      <c r="H951">
        <v>1</v>
      </c>
      <c r="I951">
        <v>2</v>
      </c>
      <c r="J951" t="s">
        <v>13</v>
      </c>
      <c r="K951" s="4">
        <f>Table1[[#This Row],[Sales]]*Table1[[#This Row],[Quantity]]</f>
        <v>6595</v>
      </c>
      <c r="L951" s="4">
        <f>Table1[[#This Row],[Revenue]]-(Table1[[#This Row],[Revenue]]*Table1[[#This Row],[Discount]]/100)</f>
        <v>6463.1</v>
      </c>
    </row>
    <row r="952" spans="1:12" x14ac:dyDescent="0.55000000000000004">
      <c r="A952" t="s">
        <v>981</v>
      </c>
      <c r="B952" s="2">
        <v>45253</v>
      </c>
      <c r="C952" t="s">
        <v>31</v>
      </c>
      <c r="D952" t="s">
        <v>37</v>
      </c>
      <c r="E952" t="s">
        <v>11</v>
      </c>
      <c r="F952" t="s">
        <v>21</v>
      </c>
      <c r="G952">
        <v>34046</v>
      </c>
      <c r="H952">
        <v>1</v>
      </c>
      <c r="I952">
        <v>17</v>
      </c>
      <c r="J952" t="s">
        <v>22</v>
      </c>
      <c r="K952" s="4">
        <f>Table1[[#This Row],[Sales]]*Table1[[#This Row],[Quantity]]</f>
        <v>34046</v>
      </c>
      <c r="L952" s="4">
        <f>Table1[[#This Row],[Revenue]]-(Table1[[#This Row],[Revenue]]*Table1[[#This Row],[Discount]]/100)</f>
        <v>28258.18</v>
      </c>
    </row>
    <row r="953" spans="1:12" x14ac:dyDescent="0.55000000000000004">
      <c r="A953" t="s">
        <v>982</v>
      </c>
      <c r="B953" s="2">
        <v>45246</v>
      </c>
      <c r="C953" t="s">
        <v>19</v>
      </c>
      <c r="D953" t="s">
        <v>27</v>
      </c>
      <c r="E953" t="s">
        <v>11</v>
      </c>
      <c r="F953" t="s">
        <v>29</v>
      </c>
      <c r="G953">
        <v>7055</v>
      </c>
      <c r="H953">
        <v>6</v>
      </c>
      <c r="I953">
        <v>11</v>
      </c>
      <c r="J953" t="s">
        <v>22</v>
      </c>
      <c r="K953" s="4">
        <f>Table1[[#This Row],[Sales]]*Table1[[#This Row],[Quantity]]</f>
        <v>42330</v>
      </c>
      <c r="L953" s="4">
        <f>Table1[[#This Row],[Revenue]]-(Table1[[#This Row],[Revenue]]*Table1[[#This Row],[Discount]]/100)</f>
        <v>37673.699999999997</v>
      </c>
    </row>
    <row r="954" spans="1:12" x14ac:dyDescent="0.55000000000000004">
      <c r="A954" t="s">
        <v>983</v>
      </c>
      <c r="B954" s="2">
        <v>45113</v>
      </c>
      <c r="C954" t="s">
        <v>15</v>
      </c>
      <c r="D954" t="s">
        <v>16</v>
      </c>
      <c r="E954" t="s">
        <v>17</v>
      </c>
      <c r="F954" t="s">
        <v>29</v>
      </c>
      <c r="G954">
        <v>1743</v>
      </c>
      <c r="H954">
        <v>9</v>
      </c>
      <c r="I954">
        <v>22</v>
      </c>
      <c r="J954" t="s">
        <v>22</v>
      </c>
      <c r="K954" s="4">
        <f>Table1[[#This Row],[Sales]]*Table1[[#This Row],[Quantity]]</f>
        <v>15687</v>
      </c>
      <c r="L954" s="4">
        <f>Table1[[#This Row],[Revenue]]-(Table1[[#This Row],[Revenue]]*Table1[[#This Row],[Discount]]/100)</f>
        <v>12235.86</v>
      </c>
    </row>
    <row r="955" spans="1:12" x14ac:dyDescent="0.55000000000000004">
      <c r="A955" t="s">
        <v>984</v>
      </c>
      <c r="B955" s="2">
        <v>45196</v>
      </c>
      <c r="C955" t="s">
        <v>19</v>
      </c>
      <c r="D955" t="s">
        <v>46</v>
      </c>
      <c r="E955" t="s">
        <v>17</v>
      </c>
      <c r="F955" t="s">
        <v>44</v>
      </c>
      <c r="G955">
        <v>30308</v>
      </c>
      <c r="H955">
        <v>2</v>
      </c>
      <c r="I955">
        <v>2</v>
      </c>
      <c r="J955" t="s">
        <v>25</v>
      </c>
      <c r="K955" s="4">
        <f>Table1[[#This Row],[Sales]]*Table1[[#This Row],[Quantity]]</f>
        <v>60616</v>
      </c>
      <c r="L955" s="4">
        <f>Table1[[#This Row],[Revenue]]-(Table1[[#This Row],[Revenue]]*Table1[[#This Row],[Discount]]/100)</f>
        <v>59403.68</v>
      </c>
    </row>
    <row r="956" spans="1:12" x14ac:dyDescent="0.55000000000000004">
      <c r="A956" t="s">
        <v>985</v>
      </c>
      <c r="B956" s="2">
        <v>45030</v>
      </c>
      <c r="C956" t="s">
        <v>15</v>
      </c>
      <c r="D956" t="s">
        <v>20</v>
      </c>
      <c r="E956" t="s">
        <v>11</v>
      </c>
      <c r="F956" t="s">
        <v>48</v>
      </c>
      <c r="G956">
        <v>21622</v>
      </c>
      <c r="H956">
        <v>5</v>
      </c>
      <c r="I956">
        <v>1</v>
      </c>
      <c r="J956" t="s">
        <v>22</v>
      </c>
      <c r="K956" s="4">
        <f>Table1[[#This Row],[Sales]]*Table1[[#This Row],[Quantity]]</f>
        <v>108110</v>
      </c>
      <c r="L956" s="4">
        <f>Table1[[#This Row],[Revenue]]-(Table1[[#This Row],[Revenue]]*Table1[[#This Row],[Discount]]/100)</f>
        <v>107028.9</v>
      </c>
    </row>
    <row r="957" spans="1:12" x14ac:dyDescent="0.55000000000000004">
      <c r="A957" t="s">
        <v>986</v>
      </c>
      <c r="B957" s="2">
        <v>45004</v>
      </c>
      <c r="C957" t="s">
        <v>31</v>
      </c>
      <c r="D957" t="s">
        <v>16</v>
      </c>
      <c r="E957" t="s">
        <v>17</v>
      </c>
      <c r="F957" t="s">
        <v>34</v>
      </c>
      <c r="G957">
        <v>49585</v>
      </c>
      <c r="H957">
        <v>6</v>
      </c>
      <c r="I957">
        <v>17</v>
      </c>
      <c r="J957" t="s">
        <v>25</v>
      </c>
      <c r="K957" s="4">
        <f>Table1[[#This Row],[Sales]]*Table1[[#This Row],[Quantity]]</f>
        <v>297510</v>
      </c>
      <c r="L957" s="4">
        <f>Table1[[#This Row],[Revenue]]-(Table1[[#This Row],[Revenue]]*Table1[[#This Row],[Discount]]/100)</f>
        <v>246933.3</v>
      </c>
    </row>
    <row r="958" spans="1:12" x14ac:dyDescent="0.55000000000000004">
      <c r="A958" t="s">
        <v>987</v>
      </c>
      <c r="B958" s="2">
        <v>45279</v>
      </c>
      <c r="C958" t="s">
        <v>15</v>
      </c>
      <c r="D958" t="s">
        <v>27</v>
      </c>
      <c r="E958" t="s">
        <v>11</v>
      </c>
      <c r="F958" t="s">
        <v>29</v>
      </c>
      <c r="G958">
        <v>18558</v>
      </c>
      <c r="H958">
        <v>8</v>
      </c>
      <c r="I958">
        <v>21</v>
      </c>
      <c r="J958" t="s">
        <v>25</v>
      </c>
      <c r="K958" s="4">
        <f>Table1[[#This Row],[Sales]]*Table1[[#This Row],[Quantity]]</f>
        <v>148464</v>
      </c>
      <c r="L958" s="4">
        <f>Table1[[#This Row],[Revenue]]-(Table1[[#This Row],[Revenue]]*Table1[[#This Row],[Discount]]/100)</f>
        <v>117286.56</v>
      </c>
    </row>
    <row r="959" spans="1:12" x14ac:dyDescent="0.55000000000000004">
      <c r="A959" t="s">
        <v>988</v>
      </c>
      <c r="B959" s="2">
        <v>45072</v>
      </c>
      <c r="C959" t="s">
        <v>19</v>
      </c>
      <c r="D959" t="s">
        <v>46</v>
      </c>
      <c r="E959" t="s">
        <v>11</v>
      </c>
      <c r="F959" t="s">
        <v>12</v>
      </c>
      <c r="G959">
        <v>45571</v>
      </c>
      <c r="H959">
        <v>9</v>
      </c>
      <c r="I959">
        <v>16</v>
      </c>
      <c r="J959" t="s">
        <v>25</v>
      </c>
      <c r="K959" s="4">
        <f>Table1[[#This Row],[Sales]]*Table1[[#This Row],[Quantity]]</f>
        <v>410139</v>
      </c>
      <c r="L959" s="4">
        <f>Table1[[#This Row],[Revenue]]-(Table1[[#This Row],[Revenue]]*Table1[[#This Row],[Discount]]/100)</f>
        <v>344516.76</v>
      </c>
    </row>
    <row r="960" spans="1:12" x14ac:dyDescent="0.55000000000000004">
      <c r="A960" t="s">
        <v>989</v>
      </c>
      <c r="B960" s="2">
        <v>44963</v>
      </c>
      <c r="C960" t="s">
        <v>24</v>
      </c>
      <c r="D960" t="s">
        <v>37</v>
      </c>
      <c r="E960" t="s">
        <v>17</v>
      </c>
      <c r="F960" t="s">
        <v>29</v>
      </c>
      <c r="G960">
        <v>40520</v>
      </c>
      <c r="H960">
        <v>9</v>
      </c>
      <c r="I960">
        <v>27</v>
      </c>
      <c r="J960" t="s">
        <v>22</v>
      </c>
      <c r="K960" s="4">
        <f>Table1[[#This Row],[Sales]]*Table1[[#This Row],[Quantity]]</f>
        <v>364680</v>
      </c>
      <c r="L960" s="4">
        <f>Table1[[#This Row],[Revenue]]-(Table1[[#This Row],[Revenue]]*Table1[[#This Row],[Discount]]/100)</f>
        <v>266216.40000000002</v>
      </c>
    </row>
    <row r="961" spans="1:12" x14ac:dyDescent="0.55000000000000004">
      <c r="A961" t="s">
        <v>990</v>
      </c>
      <c r="B961" s="2">
        <v>44976</v>
      </c>
      <c r="C961" t="s">
        <v>19</v>
      </c>
      <c r="D961" t="s">
        <v>37</v>
      </c>
      <c r="E961" t="s">
        <v>11</v>
      </c>
      <c r="F961" t="s">
        <v>21</v>
      </c>
      <c r="G961">
        <v>14775</v>
      </c>
      <c r="H961">
        <v>7</v>
      </c>
      <c r="I961">
        <v>11</v>
      </c>
      <c r="J961" t="s">
        <v>13</v>
      </c>
      <c r="K961" s="4">
        <f>Table1[[#This Row],[Sales]]*Table1[[#This Row],[Quantity]]</f>
        <v>103425</v>
      </c>
      <c r="L961" s="4">
        <f>Table1[[#This Row],[Revenue]]-(Table1[[#This Row],[Revenue]]*Table1[[#This Row],[Discount]]/100)</f>
        <v>92048.25</v>
      </c>
    </row>
    <row r="962" spans="1:12" x14ac:dyDescent="0.55000000000000004">
      <c r="A962" t="s">
        <v>991</v>
      </c>
      <c r="B962" s="2">
        <v>44941</v>
      </c>
      <c r="C962" t="s">
        <v>15</v>
      </c>
      <c r="D962" t="s">
        <v>16</v>
      </c>
      <c r="E962" t="s">
        <v>17</v>
      </c>
      <c r="F962" t="s">
        <v>34</v>
      </c>
      <c r="G962">
        <v>26670</v>
      </c>
      <c r="H962">
        <v>7</v>
      </c>
      <c r="I962">
        <v>6</v>
      </c>
      <c r="J962" t="s">
        <v>13</v>
      </c>
      <c r="K962" s="4">
        <f>Table1[[#This Row],[Sales]]*Table1[[#This Row],[Quantity]]</f>
        <v>186690</v>
      </c>
      <c r="L962" s="4">
        <f>Table1[[#This Row],[Revenue]]-(Table1[[#This Row],[Revenue]]*Table1[[#This Row],[Discount]]/100)</f>
        <v>175488.6</v>
      </c>
    </row>
    <row r="963" spans="1:12" x14ac:dyDescent="0.55000000000000004">
      <c r="A963" t="s">
        <v>992</v>
      </c>
      <c r="B963" s="2">
        <v>45153</v>
      </c>
      <c r="C963" t="s">
        <v>19</v>
      </c>
      <c r="D963" t="s">
        <v>20</v>
      </c>
      <c r="E963" t="s">
        <v>11</v>
      </c>
      <c r="F963" t="s">
        <v>38</v>
      </c>
      <c r="G963">
        <v>4582</v>
      </c>
      <c r="H963">
        <v>6</v>
      </c>
      <c r="I963">
        <v>30</v>
      </c>
      <c r="J963" t="s">
        <v>25</v>
      </c>
      <c r="K963" s="4">
        <f>Table1[[#This Row],[Sales]]*Table1[[#This Row],[Quantity]]</f>
        <v>27492</v>
      </c>
      <c r="L963" s="4">
        <f>Table1[[#This Row],[Revenue]]-(Table1[[#This Row],[Revenue]]*Table1[[#This Row],[Discount]]/100)</f>
        <v>19244.400000000001</v>
      </c>
    </row>
    <row r="964" spans="1:12" x14ac:dyDescent="0.55000000000000004">
      <c r="A964" t="s">
        <v>993</v>
      </c>
      <c r="B964" s="2">
        <v>45010</v>
      </c>
      <c r="C964" t="s">
        <v>31</v>
      </c>
      <c r="D964" t="s">
        <v>16</v>
      </c>
      <c r="E964" t="s">
        <v>17</v>
      </c>
      <c r="F964" t="s">
        <v>21</v>
      </c>
      <c r="G964">
        <v>43452</v>
      </c>
      <c r="H964">
        <v>1</v>
      </c>
      <c r="I964">
        <v>7</v>
      </c>
      <c r="J964" t="s">
        <v>13</v>
      </c>
      <c r="K964" s="4">
        <f>Table1[[#This Row],[Sales]]*Table1[[#This Row],[Quantity]]</f>
        <v>43452</v>
      </c>
      <c r="L964" s="4">
        <f>Table1[[#This Row],[Revenue]]-(Table1[[#This Row],[Revenue]]*Table1[[#This Row],[Discount]]/100)</f>
        <v>40410.36</v>
      </c>
    </row>
    <row r="965" spans="1:12" x14ac:dyDescent="0.55000000000000004">
      <c r="A965" t="s">
        <v>994</v>
      </c>
      <c r="B965" s="2">
        <v>45062</v>
      </c>
      <c r="C965" t="s">
        <v>24</v>
      </c>
      <c r="D965" t="s">
        <v>20</v>
      </c>
      <c r="E965" t="s">
        <v>11</v>
      </c>
      <c r="F965" t="s">
        <v>44</v>
      </c>
      <c r="G965">
        <v>11307</v>
      </c>
      <c r="H965">
        <v>1</v>
      </c>
      <c r="I965">
        <v>10</v>
      </c>
      <c r="J965" t="s">
        <v>13</v>
      </c>
      <c r="K965" s="4">
        <f>Table1[[#This Row],[Sales]]*Table1[[#This Row],[Quantity]]</f>
        <v>11307</v>
      </c>
      <c r="L965" s="4">
        <f>Table1[[#This Row],[Revenue]]-(Table1[[#This Row],[Revenue]]*Table1[[#This Row],[Discount]]/100)</f>
        <v>10176.299999999999</v>
      </c>
    </row>
    <row r="966" spans="1:12" x14ac:dyDescent="0.55000000000000004">
      <c r="A966" t="s">
        <v>995</v>
      </c>
      <c r="B966" s="2">
        <v>45091</v>
      </c>
      <c r="C966" t="s">
        <v>19</v>
      </c>
      <c r="D966" t="s">
        <v>37</v>
      </c>
      <c r="E966" t="s">
        <v>17</v>
      </c>
      <c r="F966" t="s">
        <v>48</v>
      </c>
      <c r="G966">
        <v>23318</v>
      </c>
      <c r="H966">
        <v>6</v>
      </c>
      <c r="I966">
        <v>24</v>
      </c>
      <c r="J966" t="s">
        <v>22</v>
      </c>
      <c r="K966" s="4">
        <f>Table1[[#This Row],[Sales]]*Table1[[#This Row],[Quantity]]</f>
        <v>139908</v>
      </c>
      <c r="L966" s="4">
        <f>Table1[[#This Row],[Revenue]]-(Table1[[#This Row],[Revenue]]*Table1[[#This Row],[Discount]]/100)</f>
        <v>106330.08</v>
      </c>
    </row>
    <row r="967" spans="1:12" x14ac:dyDescent="0.55000000000000004">
      <c r="A967" t="s">
        <v>996</v>
      </c>
      <c r="B967" s="2">
        <v>45265</v>
      </c>
      <c r="C967" t="s">
        <v>24</v>
      </c>
      <c r="D967" t="s">
        <v>20</v>
      </c>
      <c r="E967" t="s">
        <v>17</v>
      </c>
      <c r="F967" t="s">
        <v>48</v>
      </c>
      <c r="G967">
        <v>38415</v>
      </c>
      <c r="H967">
        <v>4</v>
      </c>
      <c r="I967">
        <v>20</v>
      </c>
      <c r="J967" t="s">
        <v>22</v>
      </c>
      <c r="K967" s="4">
        <f>Table1[[#This Row],[Sales]]*Table1[[#This Row],[Quantity]]</f>
        <v>153660</v>
      </c>
      <c r="L967" s="4">
        <f>Table1[[#This Row],[Revenue]]-(Table1[[#This Row],[Revenue]]*Table1[[#This Row],[Discount]]/100)</f>
        <v>122928</v>
      </c>
    </row>
    <row r="968" spans="1:12" x14ac:dyDescent="0.55000000000000004">
      <c r="A968" t="s">
        <v>997</v>
      </c>
      <c r="B968" s="2">
        <v>45135</v>
      </c>
      <c r="C968" t="s">
        <v>19</v>
      </c>
      <c r="D968" t="s">
        <v>27</v>
      </c>
      <c r="E968" t="s">
        <v>17</v>
      </c>
      <c r="F968" t="s">
        <v>38</v>
      </c>
      <c r="G968">
        <v>23081</v>
      </c>
      <c r="H968">
        <v>8</v>
      </c>
      <c r="I968">
        <v>21</v>
      </c>
      <c r="J968" t="s">
        <v>22</v>
      </c>
      <c r="K968" s="4">
        <f>Table1[[#This Row],[Sales]]*Table1[[#This Row],[Quantity]]</f>
        <v>184648</v>
      </c>
      <c r="L968" s="4">
        <f>Table1[[#This Row],[Revenue]]-(Table1[[#This Row],[Revenue]]*Table1[[#This Row],[Discount]]/100)</f>
        <v>145871.91999999998</v>
      </c>
    </row>
    <row r="969" spans="1:12" x14ac:dyDescent="0.55000000000000004">
      <c r="A969" t="s">
        <v>998</v>
      </c>
      <c r="B969" s="2">
        <v>45065</v>
      </c>
      <c r="C969" t="s">
        <v>15</v>
      </c>
      <c r="D969" t="s">
        <v>27</v>
      </c>
      <c r="E969" t="s">
        <v>17</v>
      </c>
      <c r="F969" t="s">
        <v>12</v>
      </c>
      <c r="G969">
        <v>6930</v>
      </c>
      <c r="H969">
        <v>8</v>
      </c>
      <c r="I969">
        <v>22</v>
      </c>
      <c r="J969" t="s">
        <v>13</v>
      </c>
      <c r="K969" s="4">
        <f>Table1[[#This Row],[Sales]]*Table1[[#This Row],[Quantity]]</f>
        <v>55440</v>
      </c>
      <c r="L969" s="4">
        <f>Table1[[#This Row],[Revenue]]-(Table1[[#This Row],[Revenue]]*Table1[[#This Row],[Discount]]/100)</f>
        <v>43243.199999999997</v>
      </c>
    </row>
    <row r="970" spans="1:12" x14ac:dyDescent="0.55000000000000004">
      <c r="A970" t="s">
        <v>999</v>
      </c>
      <c r="B970" s="2">
        <v>45056</v>
      </c>
      <c r="C970" t="s">
        <v>19</v>
      </c>
      <c r="D970" t="s">
        <v>46</v>
      </c>
      <c r="E970" t="s">
        <v>17</v>
      </c>
      <c r="F970" t="s">
        <v>38</v>
      </c>
      <c r="G970">
        <v>25263</v>
      </c>
      <c r="H970">
        <v>5</v>
      </c>
      <c r="I970">
        <v>19</v>
      </c>
      <c r="J970" t="s">
        <v>22</v>
      </c>
      <c r="K970" s="4">
        <f>Table1[[#This Row],[Sales]]*Table1[[#This Row],[Quantity]]</f>
        <v>126315</v>
      </c>
      <c r="L970" s="4">
        <f>Table1[[#This Row],[Revenue]]-(Table1[[#This Row],[Revenue]]*Table1[[#This Row],[Discount]]/100)</f>
        <v>102315.15</v>
      </c>
    </row>
    <row r="971" spans="1:12" x14ac:dyDescent="0.55000000000000004">
      <c r="A971" t="s">
        <v>1000</v>
      </c>
      <c r="B971" s="2">
        <v>45070</v>
      </c>
      <c r="C971" t="s">
        <v>19</v>
      </c>
      <c r="D971" t="s">
        <v>37</v>
      </c>
      <c r="E971" t="s">
        <v>11</v>
      </c>
      <c r="F971" t="s">
        <v>48</v>
      </c>
      <c r="G971">
        <v>44480</v>
      </c>
      <c r="H971">
        <v>7</v>
      </c>
      <c r="I971">
        <v>5</v>
      </c>
      <c r="J971" t="s">
        <v>22</v>
      </c>
      <c r="K971" s="4">
        <f>Table1[[#This Row],[Sales]]*Table1[[#This Row],[Quantity]]</f>
        <v>311360</v>
      </c>
      <c r="L971" s="4">
        <f>Table1[[#This Row],[Revenue]]-(Table1[[#This Row],[Revenue]]*Table1[[#This Row],[Discount]]/100)</f>
        <v>295792</v>
      </c>
    </row>
    <row r="972" spans="1:12" x14ac:dyDescent="0.55000000000000004">
      <c r="A972" t="s">
        <v>1001</v>
      </c>
      <c r="B972" s="2">
        <v>44944</v>
      </c>
      <c r="C972" t="s">
        <v>19</v>
      </c>
      <c r="D972" t="s">
        <v>20</v>
      </c>
      <c r="E972" t="s">
        <v>11</v>
      </c>
      <c r="F972" t="s">
        <v>21</v>
      </c>
      <c r="G972">
        <v>649</v>
      </c>
      <c r="H972">
        <v>4</v>
      </c>
      <c r="I972">
        <v>23</v>
      </c>
      <c r="J972" t="s">
        <v>25</v>
      </c>
      <c r="K972" s="4">
        <f>Table1[[#This Row],[Sales]]*Table1[[#This Row],[Quantity]]</f>
        <v>2596</v>
      </c>
      <c r="L972" s="4">
        <f>Table1[[#This Row],[Revenue]]-(Table1[[#This Row],[Revenue]]*Table1[[#This Row],[Discount]]/100)</f>
        <v>1998.92</v>
      </c>
    </row>
    <row r="973" spans="1:12" x14ac:dyDescent="0.55000000000000004">
      <c r="A973" t="s">
        <v>1002</v>
      </c>
      <c r="B973" s="2">
        <v>44982</v>
      </c>
      <c r="C973" t="s">
        <v>24</v>
      </c>
      <c r="D973" t="s">
        <v>37</v>
      </c>
      <c r="E973" t="s">
        <v>17</v>
      </c>
      <c r="F973" t="s">
        <v>21</v>
      </c>
      <c r="G973">
        <v>7182</v>
      </c>
      <c r="H973">
        <v>9</v>
      </c>
      <c r="I973">
        <v>6</v>
      </c>
      <c r="J973" t="s">
        <v>13</v>
      </c>
      <c r="K973" s="4">
        <f>Table1[[#This Row],[Sales]]*Table1[[#This Row],[Quantity]]</f>
        <v>64638</v>
      </c>
      <c r="L973" s="4">
        <f>Table1[[#This Row],[Revenue]]-(Table1[[#This Row],[Revenue]]*Table1[[#This Row],[Discount]]/100)</f>
        <v>60759.72</v>
      </c>
    </row>
    <row r="974" spans="1:12" x14ac:dyDescent="0.55000000000000004">
      <c r="A974" t="s">
        <v>1003</v>
      </c>
      <c r="B974" s="2">
        <v>45194</v>
      </c>
      <c r="C974" t="s">
        <v>31</v>
      </c>
      <c r="D974" t="s">
        <v>27</v>
      </c>
      <c r="E974" t="s">
        <v>17</v>
      </c>
      <c r="F974" t="s">
        <v>44</v>
      </c>
      <c r="G974">
        <v>9039</v>
      </c>
      <c r="H974">
        <v>6</v>
      </c>
      <c r="I974">
        <v>15</v>
      </c>
      <c r="J974" t="s">
        <v>25</v>
      </c>
      <c r="K974" s="4">
        <f>Table1[[#This Row],[Sales]]*Table1[[#This Row],[Quantity]]</f>
        <v>54234</v>
      </c>
      <c r="L974" s="4">
        <f>Table1[[#This Row],[Revenue]]-(Table1[[#This Row],[Revenue]]*Table1[[#This Row],[Discount]]/100)</f>
        <v>46098.9</v>
      </c>
    </row>
    <row r="975" spans="1:12" x14ac:dyDescent="0.55000000000000004">
      <c r="A975" t="s">
        <v>1004</v>
      </c>
      <c r="B975" s="2">
        <v>45075</v>
      </c>
      <c r="C975" t="s">
        <v>31</v>
      </c>
      <c r="D975" t="s">
        <v>37</v>
      </c>
      <c r="E975" t="s">
        <v>17</v>
      </c>
      <c r="F975" t="s">
        <v>21</v>
      </c>
      <c r="G975">
        <v>13835</v>
      </c>
      <c r="H975">
        <v>1</v>
      </c>
      <c r="I975">
        <v>29</v>
      </c>
      <c r="J975" t="s">
        <v>13</v>
      </c>
      <c r="K975" s="4">
        <f>Table1[[#This Row],[Sales]]*Table1[[#This Row],[Quantity]]</f>
        <v>13835</v>
      </c>
      <c r="L975" s="4">
        <f>Table1[[#This Row],[Revenue]]-(Table1[[#This Row],[Revenue]]*Table1[[#This Row],[Discount]]/100)</f>
        <v>9822.85</v>
      </c>
    </row>
    <row r="976" spans="1:12" x14ac:dyDescent="0.55000000000000004">
      <c r="A976" t="s">
        <v>1005</v>
      </c>
      <c r="B976" s="2">
        <v>45209</v>
      </c>
      <c r="C976" t="s">
        <v>31</v>
      </c>
      <c r="D976" t="s">
        <v>27</v>
      </c>
      <c r="E976" t="s">
        <v>17</v>
      </c>
      <c r="F976" t="s">
        <v>38</v>
      </c>
      <c r="G976">
        <v>1207</v>
      </c>
      <c r="H976">
        <v>7</v>
      </c>
      <c r="I976">
        <v>24</v>
      </c>
      <c r="J976" t="s">
        <v>13</v>
      </c>
      <c r="K976" s="4">
        <f>Table1[[#This Row],[Sales]]*Table1[[#This Row],[Quantity]]</f>
        <v>8449</v>
      </c>
      <c r="L976" s="4">
        <f>Table1[[#This Row],[Revenue]]-(Table1[[#This Row],[Revenue]]*Table1[[#This Row],[Discount]]/100)</f>
        <v>6421.24</v>
      </c>
    </row>
    <row r="977" spans="1:12" x14ac:dyDescent="0.55000000000000004">
      <c r="A977" t="s">
        <v>1006</v>
      </c>
      <c r="B977" s="2">
        <v>45094</v>
      </c>
      <c r="C977" t="s">
        <v>24</v>
      </c>
      <c r="D977" t="s">
        <v>46</v>
      </c>
      <c r="E977" t="s">
        <v>17</v>
      </c>
      <c r="F977" t="s">
        <v>38</v>
      </c>
      <c r="G977">
        <v>35656</v>
      </c>
      <c r="H977">
        <v>1</v>
      </c>
      <c r="I977">
        <v>2</v>
      </c>
      <c r="J977" t="s">
        <v>25</v>
      </c>
      <c r="K977" s="4">
        <f>Table1[[#This Row],[Sales]]*Table1[[#This Row],[Quantity]]</f>
        <v>35656</v>
      </c>
      <c r="L977" s="4">
        <f>Table1[[#This Row],[Revenue]]-(Table1[[#This Row],[Revenue]]*Table1[[#This Row],[Discount]]/100)</f>
        <v>34942.879999999997</v>
      </c>
    </row>
    <row r="978" spans="1:12" x14ac:dyDescent="0.55000000000000004">
      <c r="A978" t="s">
        <v>1007</v>
      </c>
      <c r="B978" s="2">
        <v>45039</v>
      </c>
      <c r="C978" t="s">
        <v>15</v>
      </c>
      <c r="D978" t="s">
        <v>27</v>
      </c>
      <c r="E978" t="s">
        <v>17</v>
      </c>
      <c r="F978" t="s">
        <v>34</v>
      </c>
      <c r="G978">
        <v>18961</v>
      </c>
      <c r="H978">
        <v>6</v>
      </c>
      <c r="I978">
        <v>11</v>
      </c>
      <c r="J978" t="s">
        <v>13</v>
      </c>
      <c r="K978" s="4">
        <f>Table1[[#This Row],[Sales]]*Table1[[#This Row],[Quantity]]</f>
        <v>113766</v>
      </c>
      <c r="L978" s="4">
        <f>Table1[[#This Row],[Revenue]]-(Table1[[#This Row],[Revenue]]*Table1[[#This Row],[Discount]]/100)</f>
        <v>101251.74</v>
      </c>
    </row>
    <row r="979" spans="1:12" x14ac:dyDescent="0.55000000000000004">
      <c r="A979" t="s">
        <v>1008</v>
      </c>
      <c r="B979" s="2">
        <v>45001</v>
      </c>
      <c r="C979" t="s">
        <v>24</v>
      </c>
      <c r="D979" t="s">
        <v>37</v>
      </c>
      <c r="E979" t="s">
        <v>11</v>
      </c>
      <c r="F979" t="s">
        <v>48</v>
      </c>
      <c r="G979">
        <v>2787</v>
      </c>
      <c r="H979">
        <v>2</v>
      </c>
      <c r="I979">
        <v>4</v>
      </c>
      <c r="J979" t="s">
        <v>13</v>
      </c>
      <c r="K979" s="4">
        <f>Table1[[#This Row],[Sales]]*Table1[[#This Row],[Quantity]]</f>
        <v>5574</v>
      </c>
      <c r="L979" s="4">
        <f>Table1[[#This Row],[Revenue]]-(Table1[[#This Row],[Revenue]]*Table1[[#This Row],[Discount]]/100)</f>
        <v>5351.04</v>
      </c>
    </row>
    <row r="980" spans="1:12" x14ac:dyDescent="0.55000000000000004">
      <c r="A980" t="s">
        <v>1009</v>
      </c>
      <c r="B980" s="2">
        <v>45164</v>
      </c>
      <c r="C980" t="s">
        <v>24</v>
      </c>
      <c r="D980" t="s">
        <v>20</v>
      </c>
      <c r="E980" t="s">
        <v>17</v>
      </c>
      <c r="F980" t="s">
        <v>38</v>
      </c>
      <c r="G980">
        <v>43114</v>
      </c>
      <c r="H980">
        <v>10</v>
      </c>
      <c r="I980">
        <v>7</v>
      </c>
      <c r="J980" t="s">
        <v>13</v>
      </c>
      <c r="K980" s="4">
        <f>Table1[[#This Row],[Sales]]*Table1[[#This Row],[Quantity]]</f>
        <v>431140</v>
      </c>
      <c r="L980" s="4">
        <f>Table1[[#This Row],[Revenue]]-(Table1[[#This Row],[Revenue]]*Table1[[#This Row],[Discount]]/100)</f>
        <v>400960.2</v>
      </c>
    </row>
    <row r="981" spans="1:12" x14ac:dyDescent="0.55000000000000004">
      <c r="A981" t="s">
        <v>1010</v>
      </c>
      <c r="B981" s="2">
        <v>45248</v>
      </c>
      <c r="C981" t="s">
        <v>19</v>
      </c>
      <c r="D981" t="s">
        <v>16</v>
      </c>
      <c r="E981" t="s">
        <v>17</v>
      </c>
      <c r="F981" t="s">
        <v>38</v>
      </c>
      <c r="G981">
        <v>23478</v>
      </c>
      <c r="H981">
        <v>1</v>
      </c>
      <c r="I981">
        <v>24</v>
      </c>
      <c r="J981" t="s">
        <v>13</v>
      </c>
      <c r="K981" s="4">
        <f>Table1[[#This Row],[Sales]]*Table1[[#This Row],[Quantity]]</f>
        <v>23478</v>
      </c>
      <c r="L981" s="4">
        <f>Table1[[#This Row],[Revenue]]-(Table1[[#This Row],[Revenue]]*Table1[[#This Row],[Discount]]/100)</f>
        <v>17843.28</v>
      </c>
    </row>
    <row r="982" spans="1:12" x14ac:dyDescent="0.55000000000000004">
      <c r="A982" t="s">
        <v>1011</v>
      </c>
      <c r="B982" s="2">
        <v>45146</v>
      </c>
      <c r="C982" t="s">
        <v>31</v>
      </c>
      <c r="D982" t="s">
        <v>16</v>
      </c>
      <c r="E982" t="s">
        <v>17</v>
      </c>
      <c r="F982" t="s">
        <v>12</v>
      </c>
      <c r="G982">
        <v>179</v>
      </c>
      <c r="H982">
        <v>2</v>
      </c>
      <c r="I982">
        <v>25</v>
      </c>
      <c r="J982" t="s">
        <v>22</v>
      </c>
      <c r="K982" s="4">
        <f>Table1[[#This Row],[Sales]]*Table1[[#This Row],[Quantity]]</f>
        <v>358</v>
      </c>
      <c r="L982" s="4">
        <f>Table1[[#This Row],[Revenue]]-(Table1[[#This Row],[Revenue]]*Table1[[#This Row],[Discount]]/100)</f>
        <v>268.5</v>
      </c>
    </row>
    <row r="983" spans="1:12" x14ac:dyDescent="0.55000000000000004">
      <c r="A983" t="s">
        <v>1012</v>
      </c>
      <c r="B983" s="2">
        <v>45055</v>
      </c>
      <c r="C983" t="s">
        <v>15</v>
      </c>
      <c r="D983" t="s">
        <v>46</v>
      </c>
      <c r="E983" t="s">
        <v>17</v>
      </c>
      <c r="F983" t="s">
        <v>21</v>
      </c>
      <c r="G983">
        <v>16166</v>
      </c>
      <c r="H983">
        <v>3</v>
      </c>
      <c r="I983">
        <v>2</v>
      </c>
      <c r="J983" t="s">
        <v>13</v>
      </c>
      <c r="K983" s="4">
        <f>Table1[[#This Row],[Sales]]*Table1[[#This Row],[Quantity]]</f>
        <v>48498</v>
      </c>
      <c r="L983" s="4">
        <f>Table1[[#This Row],[Revenue]]-(Table1[[#This Row],[Revenue]]*Table1[[#This Row],[Discount]]/100)</f>
        <v>47528.04</v>
      </c>
    </row>
    <row r="984" spans="1:12" x14ac:dyDescent="0.55000000000000004">
      <c r="A984" t="s">
        <v>1013</v>
      </c>
      <c r="B984" s="2">
        <v>45102</v>
      </c>
      <c r="C984" t="s">
        <v>24</v>
      </c>
      <c r="D984" t="s">
        <v>37</v>
      </c>
      <c r="E984" t="s">
        <v>17</v>
      </c>
      <c r="F984" t="s">
        <v>38</v>
      </c>
      <c r="G984">
        <v>15546</v>
      </c>
      <c r="H984">
        <v>6</v>
      </c>
      <c r="I984">
        <v>19</v>
      </c>
      <c r="J984" t="s">
        <v>25</v>
      </c>
      <c r="K984" s="4">
        <f>Table1[[#This Row],[Sales]]*Table1[[#This Row],[Quantity]]</f>
        <v>93276</v>
      </c>
      <c r="L984" s="4">
        <f>Table1[[#This Row],[Revenue]]-(Table1[[#This Row],[Revenue]]*Table1[[#This Row],[Discount]]/100)</f>
        <v>75553.56</v>
      </c>
    </row>
    <row r="985" spans="1:12" x14ac:dyDescent="0.55000000000000004">
      <c r="A985" t="s">
        <v>1014</v>
      </c>
      <c r="B985" s="2">
        <v>45147</v>
      </c>
      <c r="C985" t="s">
        <v>15</v>
      </c>
      <c r="D985" t="s">
        <v>16</v>
      </c>
      <c r="E985" t="s">
        <v>11</v>
      </c>
      <c r="F985" t="s">
        <v>38</v>
      </c>
      <c r="G985">
        <v>40213</v>
      </c>
      <c r="H985">
        <v>7</v>
      </c>
      <c r="I985">
        <v>28</v>
      </c>
      <c r="J985" t="s">
        <v>13</v>
      </c>
      <c r="K985" s="4">
        <f>Table1[[#This Row],[Sales]]*Table1[[#This Row],[Quantity]]</f>
        <v>281491</v>
      </c>
      <c r="L985" s="4">
        <f>Table1[[#This Row],[Revenue]]-(Table1[[#This Row],[Revenue]]*Table1[[#This Row],[Discount]]/100)</f>
        <v>202673.52000000002</v>
      </c>
    </row>
    <row r="986" spans="1:12" x14ac:dyDescent="0.55000000000000004">
      <c r="A986" t="s">
        <v>1015</v>
      </c>
      <c r="B986" s="2">
        <v>45266</v>
      </c>
      <c r="C986" t="s">
        <v>15</v>
      </c>
      <c r="D986" t="s">
        <v>46</v>
      </c>
      <c r="E986" t="s">
        <v>11</v>
      </c>
      <c r="F986" t="s">
        <v>48</v>
      </c>
      <c r="G986">
        <v>46526</v>
      </c>
      <c r="H986">
        <v>7</v>
      </c>
      <c r="I986">
        <v>12</v>
      </c>
      <c r="J986" t="s">
        <v>25</v>
      </c>
      <c r="K986" s="4">
        <f>Table1[[#This Row],[Sales]]*Table1[[#This Row],[Quantity]]</f>
        <v>325682</v>
      </c>
      <c r="L986" s="4">
        <f>Table1[[#This Row],[Revenue]]-(Table1[[#This Row],[Revenue]]*Table1[[#This Row],[Discount]]/100)</f>
        <v>286600.16000000003</v>
      </c>
    </row>
    <row r="987" spans="1:12" x14ac:dyDescent="0.55000000000000004">
      <c r="A987" t="s">
        <v>1016</v>
      </c>
      <c r="B987" s="2">
        <v>45093</v>
      </c>
      <c r="C987" t="s">
        <v>15</v>
      </c>
      <c r="D987" t="s">
        <v>46</v>
      </c>
      <c r="E987" t="s">
        <v>11</v>
      </c>
      <c r="F987" t="s">
        <v>29</v>
      </c>
      <c r="G987">
        <v>21330</v>
      </c>
      <c r="H987">
        <v>10</v>
      </c>
      <c r="I987">
        <v>28</v>
      </c>
      <c r="J987" t="s">
        <v>22</v>
      </c>
      <c r="K987" s="4">
        <f>Table1[[#This Row],[Sales]]*Table1[[#This Row],[Quantity]]</f>
        <v>213300</v>
      </c>
      <c r="L987" s="4">
        <f>Table1[[#This Row],[Revenue]]-(Table1[[#This Row],[Revenue]]*Table1[[#This Row],[Discount]]/100)</f>
        <v>153576</v>
      </c>
    </row>
    <row r="988" spans="1:12" x14ac:dyDescent="0.55000000000000004">
      <c r="A988" t="s">
        <v>1017</v>
      </c>
      <c r="B988" s="2">
        <v>45083</v>
      </c>
      <c r="C988" t="s">
        <v>31</v>
      </c>
      <c r="D988" t="s">
        <v>46</v>
      </c>
      <c r="E988" t="s">
        <v>11</v>
      </c>
      <c r="F988" t="s">
        <v>34</v>
      </c>
      <c r="G988">
        <v>3104</v>
      </c>
      <c r="H988">
        <v>3</v>
      </c>
      <c r="I988">
        <v>16</v>
      </c>
      <c r="J988" t="s">
        <v>25</v>
      </c>
      <c r="K988" s="4">
        <f>Table1[[#This Row],[Sales]]*Table1[[#This Row],[Quantity]]</f>
        <v>9312</v>
      </c>
      <c r="L988" s="4">
        <f>Table1[[#This Row],[Revenue]]-(Table1[[#This Row],[Revenue]]*Table1[[#This Row],[Discount]]/100)</f>
        <v>7822.08</v>
      </c>
    </row>
    <row r="989" spans="1:12" x14ac:dyDescent="0.55000000000000004">
      <c r="A989" t="s">
        <v>1018</v>
      </c>
      <c r="B989" s="2">
        <v>45098</v>
      </c>
      <c r="C989" t="s">
        <v>24</v>
      </c>
      <c r="D989" t="s">
        <v>46</v>
      </c>
      <c r="E989" t="s">
        <v>17</v>
      </c>
      <c r="F989" t="s">
        <v>38</v>
      </c>
      <c r="G989">
        <v>19008</v>
      </c>
      <c r="H989">
        <v>7</v>
      </c>
      <c r="I989">
        <v>16</v>
      </c>
      <c r="J989" t="s">
        <v>22</v>
      </c>
      <c r="K989" s="4">
        <f>Table1[[#This Row],[Sales]]*Table1[[#This Row],[Quantity]]</f>
        <v>133056</v>
      </c>
      <c r="L989" s="4">
        <f>Table1[[#This Row],[Revenue]]-(Table1[[#This Row],[Revenue]]*Table1[[#This Row],[Discount]]/100)</f>
        <v>111767.04000000001</v>
      </c>
    </row>
    <row r="990" spans="1:12" x14ac:dyDescent="0.55000000000000004">
      <c r="A990" t="s">
        <v>1019</v>
      </c>
      <c r="B990" s="2">
        <v>44928</v>
      </c>
      <c r="C990" t="s">
        <v>19</v>
      </c>
      <c r="D990" t="s">
        <v>37</v>
      </c>
      <c r="E990" t="s">
        <v>17</v>
      </c>
      <c r="F990" t="s">
        <v>44</v>
      </c>
      <c r="G990">
        <v>15793</v>
      </c>
      <c r="H990">
        <v>7</v>
      </c>
      <c r="I990">
        <v>15</v>
      </c>
      <c r="J990" t="s">
        <v>13</v>
      </c>
      <c r="K990" s="4">
        <f>Table1[[#This Row],[Sales]]*Table1[[#This Row],[Quantity]]</f>
        <v>110551</v>
      </c>
      <c r="L990" s="4">
        <f>Table1[[#This Row],[Revenue]]-(Table1[[#This Row],[Revenue]]*Table1[[#This Row],[Discount]]/100)</f>
        <v>93968.35</v>
      </c>
    </row>
    <row r="991" spans="1:12" x14ac:dyDescent="0.55000000000000004">
      <c r="A991" t="s">
        <v>1020</v>
      </c>
      <c r="B991" s="2">
        <v>45284</v>
      </c>
      <c r="C991" t="s">
        <v>19</v>
      </c>
      <c r="D991" t="s">
        <v>46</v>
      </c>
      <c r="E991" t="s">
        <v>11</v>
      </c>
      <c r="F991" t="s">
        <v>38</v>
      </c>
      <c r="G991">
        <v>42251</v>
      </c>
      <c r="H991">
        <v>5</v>
      </c>
      <c r="I991">
        <v>10</v>
      </c>
      <c r="J991" t="s">
        <v>13</v>
      </c>
      <c r="K991" s="4">
        <f>Table1[[#This Row],[Sales]]*Table1[[#This Row],[Quantity]]</f>
        <v>211255</v>
      </c>
      <c r="L991" s="4">
        <f>Table1[[#This Row],[Revenue]]-(Table1[[#This Row],[Revenue]]*Table1[[#This Row],[Discount]]/100)</f>
        <v>190129.5</v>
      </c>
    </row>
    <row r="992" spans="1:12" x14ac:dyDescent="0.55000000000000004">
      <c r="A992" t="s">
        <v>1021</v>
      </c>
      <c r="B992" s="2">
        <v>45282</v>
      </c>
      <c r="C992" t="s">
        <v>24</v>
      </c>
      <c r="D992" t="s">
        <v>37</v>
      </c>
      <c r="E992" t="s">
        <v>11</v>
      </c>
      <c r="F992" t="s">
        <v>38</v>
      </c>
      <c r="G992">
        <v>1006</v>
      </c>
      <c r="H992">
        <v>9</v>
      </c>
      <c r="I992">
        <v>11</v>
      </c>
      <c r="J992" t="s">
        <v>22</v>
      </c>
      <c r="K992" s="4">
        <f>Table1[[#This Row],[Sales]]*Table1[[#This Row],[Quantity]]</f>
        <v>9054</v>
      </c>
      <c r="L992" s="4">
        <f>Table1[[#This Row],[Revenue]]-(Table1[[#This Row],[Revenue]]*Table1[[#This Row],[Discount]]/100)</f>
        <v>8058.0599999999995</v>
      </c>
    </row>
    <row r="993" spans="1:12" x14ac:dyDescent="0.55000000000000004">
      <c r="A993" t="s">
        <v>1022</v>
      </c>
      <c r="B993" s="2">
        <v>45052</v>
      </c>
      <c r="C993" t="s">
        <v>31</v>
      </c>
      <c r="D993" t="s">
        <v>46</v>
      </c>
      <c r="E993" t="s">
        <v>11</v>
      </c>
      <c r="F993" t="s">
        <v>12</v>
      </c>
      <c r="G993">
        <v>37308</v>
      </c>
      <c r="H993">
        <v>6</v>
      </c>
      <c r="I993">
        <v>7</v>
      </c>
      <c r="J993" t="s">
        <v>13</v>
      </c>
      <c r="K993" s="4">
        <f>Table1[[#This Row],[Sales]]*Table1[[#This Row],[Quantity]]</f>
        <v>223848</v>
      </c>
      <c r="L993" s="4">
        <f>Table1[[#This Row],[Revenue]]-(Table1[[#This Row],[Revenue]]*Table1[[#This Row],[Discount]]/100)</f>
        <v>208178.64</v>
      </c>
    </row>
    <row r="994" spans="1:12" x14ac:dyDescent="0.55000000000000004">
      <c r="A994" t="s">
        <v>1023</v>
      </c>
      <c r="B994" s="2">
        <v>45111</v>
      </c>
      <c r="C994" t="s">
        <v>19</v>
      </c>
      <c r="D994" t="s">
        <v>46</v>
      </c>
      <c r="E994" t="s">
        <v>17</v>
      </c>
      <c r="F994" t="s">
        <v>29</v>
      </c>
      <c r="G994">
        <v>36081</v>
      </c>
      <c r="H994">
        <v>4</v>
      </c>
      <c r="I994">
        <v>3</v>
      </c>
      <c r="J994" t="s">
        <v>13</v>
      </c>
      <c r="K994" s="4">
        <f>Table1[[#This Row],[Sales]]*Table1[[#This Row],[Quantity]]</f>
        <v>144324</v>
      </c>
      <c r="L994" s="4">
        <f>Table1[[#This Row],[Revenue]]-(Table1[[#This Row],[Revenue]]*Table1[[#This Row],[Discount]]/100)</f>
        <v>139994.28</v>
      </c>
    </row>
    <row r="995" spans="1:12" x14ac:dyDescent="0.55000000000000004">
      <c r="A995" t="s">
        <v>1024</v>
      </c>
      <c r="B995" s="2">
        <v>45285</v>
      </c>
      <c r="C995" t="s">
        <v>15</v>
      </c>
      <c r="D995" t="s">
        <v>37</v>
      </c>
      <c r="E995" t="s">
        <v>17</v>
      </c>
      <c r="F995" t="s">
        <v>12</v>
      </c>
      <c r="G995">
        <v>29462</v>
      </c>
      <c r="H995">
        <v>1</v>
      </c>
      <c r="I995">
        <v>30</v>
      </c>
      <c r="J995" t="s">
        <v>25</v>
      </c>
      <c r="K995" s="4">
        <f>Table1[[#This Row],[Sales]]*Table1[[#This Row],[Quantity]]</f>
        <v>29462</v>
      </c>
      <c r="L995" s="4">
        <f>Table1[[#This Row],[Revenue]]-(Table1[[#This Row],[Revenue]]*Table1[[#This Row],[Discount]]/100)</f>
        <v>20623.400000000001</v>
      </c>
    </row>
    <row r="996" spans="1:12" x14ac:dyDescent="0.55000000000000004">
      <c r="A996" t="s">
        <v>1025</v>
      </c>
      <c r="B996" s="2">
        <v>45054</v>
      </c>
      <c r="C996" t="s">
        <v>15</v>
      </c>
      <c r="D996" t="s">
        <v>20</v>
      </c>
      <c r="E996" t="s">
        <v>17</v>
      </c>
      <c r="F996" t="s">
        <v>12</v>
      </c>
      <c r="G996">
        <v>13055</v>
      </c>
      <c r="H996">
        <v>6</v>
      </c>
      <c r="I996">
        <v>12</v>
      </c>
      <c r="J996" t="s">
        <v>22</v>
      </c>
      <c r="K996" s="4">
        <f>Table1[[#This Row],[Sales]]*Table1[[#This Row],[Quantity]]</f>
        <v>78330</v>
      </c>
      <c r="L996" s="4">
        <f>Table1[[#This Row],[Revenue]]-(Table1[[#This Row],[Revenue]]*Table1[[#This Row],[Discount]]/100)</f>
        <v>68930.399999999994</v>
      </c>
    </row>
    <row r="997" spans="1:12" x14ac:dyDescent="0.55000000000000004">
      <c r="A997" t="s">
        <v>1026</v>
      </c>
      <c r="B997" s="2">
        <v>44963</v>
      </c>
      <c r="C997" t="s">
        <v>19</v>
      </c>
      <c r="D997" t="s">
        <v>27</v>
      </c>
      <c r="E997" t="s">
        <v>17</v>
      </c>
      <c r="F997" t="s">
        <v>12</v>
      </c>
      <c r="G997">
        <v>25417</v>
      </c>
      <c r="H997">
        <v>10</v>
      </c>
      <c r="I997">
        <v>0</v>
      </c>
      <c r="J997" t="s">
        <v>22</v>
      </c>
      <c r="K997" s="4">
        <f>Table1[[#This Row],[Sales]]*Table1[[#This Row],[Quantity]]</f>
        <v>254170</v>
      </c>
      <c r="L997" s="4">
        <f>Table1[[#This Row],[Revenue]]-(Table1[[#This Row],[Revenue]]*Table1[[#This Row],[Discount]]/100)</f>
        <v>254170</v>
      </c>
    </row>
    <row r="998" spans="1:12" x14ac:dyDescent="0.55000000000000004">
      <c r="A998" t="s">
        <v>1027</v>
      </c>
      <c r="B998" s="2">
        <v>44999</v>
      </c>
      <c r="C998" t="s">
        <v>15</v>
      </c>
      <c r="D998" t="s">
        <v>16</v>
      </c>
      <c r="E998" t="s">
        <v>11</v>
      </c>
      <c r="F998" t="s">
        <v>21</v>
      </c>
      <c r="G998">
        <v>20621</v>
      </c>
      <c r="H998">
        <v>3</v>
      </c>
      <c r="I998">
        <v>1</v>
      </c>
      <c r="J998" t="s">
        <v>25</v>
      </c>
      <c r="K998" s="4">
        <f>Table1[[#This Row],[Sales]]*Table1[[#This Row],[Quantity]]</f>
        <v>61863</v>
      </c>
      <c r="L998" s="4">
        <f>Table1[[#This Row],[Revenue]]-(Table1[[#This Row],[Revenue]]*Table1[[#This Row],[Discount]]/100)</f>
        <v>61244.37</v>
      </c>
    </row>
    <row r="999" spans="1:12" x14ac:dyDescent="0.55000000000000004">
      <c r="A999" t="s">
        <v>1028</v>
      </c>
      <c r="B999" s="2">
        <v>45008</v>
      </c>
      <c r="C999" t="s">
        <v>19</v>
      </c>
      <c r="D999" t="s">
        <v>27</v>
      </c>
      <c r="E999" t="s">
        <v>17</v>
      </c>
      <c r="F999" t="s">
        <v>29</v>
      </c>
      <c r="G999">
        <v>8907</v>
      </c>
      <c r="H999">
        <v>5</v>
      </c>
      <c r="I999">
        <v>21</v>
      </c>
      <c r="J999" t="s">
        <v>25</v>
      </c>
      <c r="K999" s="4">
        <f>Table1[[#This Row],[Sales]]*Table1[[#This Row],[Quantity]]</f>
        <v>44535</v>
      </c>
      <c r="L999" s="4">
        <f>Table1[[#This Row],[Revenue]]-(Table1[[#This Row],[Revenue]]*Table1[[#This Row],[Discount]]/100)</f>
        <v>35182.65</v>
      </c>
    </row>
    <row r="1000" spans="1:12" x14ac:dyDescent="0.55000000000000004">
      <c r="A1000" t="s">
        <v>1029</v>
      </c>
      <c r="B1000" s="2">
        <v>45077</v>
      </c>
      <c r="C1000" t="s">
        <v>31</v>
      </c>
      <c r="D1000" t="s">
        <v>46</v>
      </c>
      <c r="E1000" t="s">
        <v>17</v>
      </c>
      <c r="F1000" t="s">
        <v>12</v>
      </c>
      <c r="G1000">
        <v>7221</v>
      </c>
      <c r="H1000">
        <v>6</v>
      </c>
      <c r="I1000">
        <v>0</v>
      </c>
      <c r="J1000" t="s">
        <v>13</v>
      </c>
      <c r="K1000" s="4">
        <f>Table1[[#This Row],[Sales]]*Table1[[#This Row],[Quantity]]</f>
        <v>43326</v>
      </c>
      <c r="L1000" s="4">
        <f>Table1[[#This Row],[Revenue]]-(Table1[[#This Row],[Revenue]]*Table1[[#This Row],[Discount]]/100)</f>
        <v>43326</v>
      </c>
    </row>
    <row r="1001" spans="1:12" x14ac:dyDescent="0.55000000000000004">
      <c r="A1001" t="s">
        <v>1030</v>
      </c>
      <c r="B1001" s="2">
        <v>45217</v>
      </c>
      <c r="C1001" t="s">
        <v>15</v>
      </c>
      <c r="D1001" t="s">
        <v>20</v>
      </c>
      <c r="E1001" t="s">
        <v>17</v>
      </c>
      <c r="F1001" t="s">
        <v>48</v>
      </c>
      <c r="G1001">
        <v>13553</v>
      </c>
      <c r="H1001">
        <v>2</v>
      </c>
      <c r="I1001">
        <v>20</v>
      </c>
      <c r="J1001" t="s">
        <v>13</v>
      </c>
      <c r="K1001" s="4">
        <f>Table1[[#This Row],[Sales]]*Table1[[#This Row],[Quantity]]</f>
        <v>27106</v>
      </c>
      <c r="L1001" s="4">
        <f>Table1[[#This Row],[Revenue]]-(Table1[[#This Row],[Revenue]]*Table1[[#This Row],[Discount]]/100)</f>
        <v>21684.799999999999</v>
      </c>
    </row>
    <row r="1002" spans="1:12" x14ac:dyDescent="0.55000000000000004">
      <c r="A1002" t="s">
        <v>1031</v>
      </c>
      <c r="B1002" s="2">
        <v>45077</v>
      </c>
      <c r="C1002" t="s">
        <v>19</v>
      </c>
      <c r="D1002" t="s">
        <v>46</v>
      </c>
      <c r="E1002" t="s">
        <v>17</v>
      </c>
      <c r="F1002" t="s">
        <v>44</v>
      </c>
      <c r="G1002">
        <v>32780</v>
      </c>
      <c r="H1002">
        <v>9</v>
      </c>
      <c r="I1002">
        <v>16</v>
      </c>
      <c r="J1002" t="s">
        <v>25</v>
      </c>
      <c r="K1002" s="4">
        <f>Table1[[#This Row],[Sales]]*Table1[[#This Row],[Quantity]]</f>
        <v>295020</v>
      </c>
      <c r="L1002" s="4">
        <f>Table1[[#This Row],[Revenue]]-(Table1[[#This Row],[Revenue]]*Table1[[#This Row],[Discount]]/100)</f>
        <v>247816.8</v>
      </c>
    </row>
    <row r="1003" spans="1:12" x14ac:dyDescent="0.55000000000000004">
      <c r="A1003" t="s">
        <v>1032</v>
      </c>
      <c r="B1003" s="2">
        <v>45096</v>
      </c>
      <c r="C1003" t="s">
        <v>24</v>
      </c>
      <c r="D1003" t="s">
        <v>20</v>
      </c>
      <c r="E1003" t="s">
        <v>17</v>
      </c>
      <c r="F1003" t="s">
        <v>29</v>
      </c>
      <c r="G1003">
        <v>14422</v>
      </c>
      <c r="H1003">
        <v>2</v>
      </c>
      <c r="I1003">
        <v>28</v>
      </c>
      <c r="J1003" t="s">
        <v>13</v>
      </c>
      <c r="K1003" s="4">
        <f>Table1[[#This Row],[Sales]]*Table1[[#This Row],[Quantity]]</f>
        <v>28844</v>
      </c>
      <c r="L1003" s="4">
        <f>Table1[[#This Row],[Revenue]]-(Table1[[#This Row],[Revenue]]*Table1[[#This Row],[Discount]]/100)</f>
        <v>20767.68</v>
      </c>
    </row>
    <row r="1004" spans="1:12" x14ac:dyDescent="0.55000000000000004">
      <c r="A1004" t="s">
        <v>1033</v>
      </c>
      <c r="B1004" s="2">
        <v>45273</v>
      </c>
      <c r="C1004" t="s">
        <v>19</v>
      </c>
      <c r="D1004" t="s">
        <v>16</v>
      </c>
      <c r="E1004" t="s">
        <v>17</v>
      </c>
      <c r="F1004" t="s">
        <v>12</v>
      </c>
      <c r="G1004">
        <v>5126</v>
      </c>
      <c r="H1004">
        <v>4</v>
      </c>
      <c r="I1004">
        <v>24</v>
      </c>
      <c r="J1004" t="s">
        <v>13</v>
      </c>
      <c r="K1004" s="4">
        <f>Table1[[#This Row],[Sales]]*Table1[[#This Row],[Quantity]]</f>
        <v>20504</v>
      </c>
      <c r="L1004" s="4">
        <f>Table1[[#This Row],[Revenue]]-(Table1[[#This Row],[Revenue]]*Table1[[#This Row],[Discount]]/100)</f>
        <v>15583.04</v>
      </c>
    </row>
    <row r="1005" spans="1:12" x14ac:dyDescent="0.55000000000000004">
      <c r="A1005" t="s">
        <v>1034</v>
      </c>
      <c r="B1005" s="2">
        <v>45157</v>
      </c>
      <c r="C1005" t="s">
        <v>15</v>
      </c>
      <c r="D1005" t="s">
        <v>37</v>
      </c>
      <c r="E1005" t="s">
        <v>17</v>
      </c>
      <c r="F1005" t="s">
        <v>38</v>
      </c>
      <c r="G1005">
        <v>26303</v>
      </c>
      <c r="H1005">
        <v>4</v>
      </c>
      <c r="I1005">
        <v>19</v>
      </c>
      <c r="J1005" t="s">
        <v>25</v>
      </c>
      <c r="K1005" s="4">
        <f>Table1[[#This Row],[Sales]]*Table1[[#This Row],[Quantity]]</f>
        <v>105212</v>
      </c>
      <c r="L1005" s="4">
        <f>Table1[[#This Row],[Revenue]]-(Table1[[#This Row],[Revenue]]*Table1[[#This Row],[Discount]]/100)</f>
        <v>85221.72</v>
      </c>
    </row>
    <row r="1006" spans="1:12" x14ac:dyDescent="0.55000000000000004">
      <c r="A1006" t="s">
        <v>1035</v>
      </c>
      <c r="B1006" s="2">
        <v>44983</v>
      </c>
      <c r="C1006" t="s">
        <v>24</v>
      </c>
      <c r="D1006" t="s">
        <v>27</v>
      </c>
      <c r="E1006" t="s">
        <v>17</v>
      </c>
      <c r="F1006" t="s">
        <v>29</v>
      </c>
      <c r="G1006">
        <v>16090</v>
      </c>
      <c r="H1006">
        <v>7</v>
      </c>
      <c r="I1006">
        <v>13</v>
      </c>
      <c r="J1006" t="s">
        <v>13</v>
      </c>
      <c r="K1006" s="4">
        <f>Table1[[#This Row],[Sales]]*Table1[[#This Row],[Quantity]]</f>
        <v>112630</v>
      </c>
      <c r="L1006" s="4">
        <f>Table1[[#This Row],[Revenue]]-(Table1[[#This Row],[Revenue]]*Table1[[#This Row],[Discount]]/100)</f>
        <v>97988.1</v>
      </c>
    </row>
    <row r="1007" spans="1:12" x14ac:dyDescent="0.55000000000000004">
      <c r="A1007" t="s">
        <v>1036</v>
      </c>
      <c r="B1007" s="2">
        <v>45292</v>
      </c>
      <c r="C1007" t="s">
        <v>24</v>
      </c>
      <c r="D1007" t="s">
        <v>37</v>
      </c>
      <c r="E1007" t="s">
        <v>11</v>
      </c>
      <c r="F1007" t="s">
        <v>38</v>
      </c>
      <c r="G1007">
        <v>23107</v>
      </c>
      <c r="H1007">
        <v>10</v>
      </c>
      <c r="I1007">
        <v>29</v>
      </c>
      <c r="J1007" t="s">
        <v>22</v>
      </c>
      <c r="K1007" s="4">
        <f>Table1[[#This Row],[Sales]]*Table1[[#This Row],[Quantity]]</f>
        <v>231070</v>
      </c>
      <c r="L1007" s="4">
        <f>Table1[[#This Row],[Revenue]]-(Table1[[#This Row],[Revenue]]*Table1[[#This Row],[Discount]]/100)</f>
        <v>164059.70000000001</v>
      </c>
    </row>
    <row r="1008" spans="1:12" x14ac:dyDescent="0.55000000000000004">
      <c r="A1008" t="s">
        <v>1037</v>
      </c>
      <c r="B1008" s="2">
        <v>45087</v>
      </c>
      <c r="C1008" t="s">
        <v>24</v>
      </c>
      <c r="D1008" t="s">
        <v>46</v>
      </c>
      <c r="E1008" t="s">
        <v>11</v>
      </c>
      <c r="F1008" t="s">
        <v>48</v>
      </c>
      <c r="G1008">
        <v>21249</v>
      </c>
      <c r="H1008">
        <v>4</v>
      </c>
      <c r="I1008">
        <v>23</v>
      </c>
      <c r="J1008" t="s">
        <v>22</v>
      </c>
      <c r="K1008" s="4">
        <f>Table1[[#This Row],[Sales]]*Table1[[#This Row],[Quantity]]</f>
        <v>84996</v>
      </c>
      <c r="L1008" s="4">
        <f>Table1[[#This Row],[Revenue]]-(Table1[[#This Row],[Revenue]]*Table1[[#This Row],[Discount]]/100)</f>
        <v>65446.92</v>
      </c>
    </row>
    <row r="1009" spans="1:12" x14ac:dyDescent="0.55000000000000004">
      <c r="A1009" t="s">
        <v>1038</v>
      </c>
      <c r="B1009" s="2">
        <v>45202</v>
      </c>
      <c r="C1009" t="s">
        <v>19</v>
      </c>
      <c r="D1009" t="s">
        <v>37</v>
      </c>
      <c r="E1009" t="s">
        <v>11</v>
      </c>
      <c r="F1009" t="s">
        <v>21</v>
      </c>
      <c r="G1009">
        <v>10587</v>
      </c>
      <c r="H1009">
        <v>7</v>
      </c>
      <c r="I1009">
        <v>10</v>
      </c>
      <c r="J1009" t="s">
        <v>13</v>
      </c>
      <c r="K1009" s="4">
        <f>Table1[[#This Row],[Sales]]*Table1[[#This Row],[Quantity]]</f>
        <v>74109</v>
      </c>
      <c r="L1009" s="4">
        <f>Table1[[#This Row],[Revenue]]-(Table1[[#This Row],[Revenue]]*Table1[[#This Row],[Discount]]/100)</f>
        <v>66698.100000000006</v>
      </c>
    </row>
    <row r="1010" spans="1:12" x14ac:dyDescent="0.55000000000000004">
      <c r="A1010" t="s">
        <v>1039</v>
      </c>
      <c r="B1010" s="2">
        <v>45217</v>
      </c>
      <c r="C1010" t="s">
        <v>19</v>
      </c>
      <c r="D1010" t="s">
        <v>20</v>
      </c>
      <c r="E1010" t="s">
        <v>11</v>
      </c>
      <c r="F1010" t="s">
        <v>21</v>
      </c>
      <c r="G1010">
        <v>38933</v>
      </c>
      <c r="H1010">
        <v>10</v>
      </c>
      <c r="I1010">
        <v>20</v>
      </c>
      <c r="J1010" t="s">
        <v>25</v>
      </c>
      <c r="K1010" s="4">
        <f>Table1[[#This Row],[Sales]]*Table1[[#This Row],[Quantity]]</f>
        <v>389330</v>
      </c>
      <c r="L1010" s="4">
        <f>Table1[[#This Row],[Revenue]]-(Table1[[#This Row],[Revenue]]*Table1[[#This Row],[Discount]]/100)</f>
        <v>311464</v>
      </c>
    </row>
    <row r="1011" spans="1:12" x14ac:dyDescent="0.55000000000000004">
      <c r="A1011" t="s">
        <v>1040</v>
      </c>
      <c r="B1011" s="2">
        <v>45135</v>
      </c>
      <c r="C1011" t="s">
        <v>24</v>
      </c>
      <c r="D1011" t="s">
        <v>27</v>
      </c>
      <c r="E1011" t="s">
        <v>17</v>
      </c>
      <c r="F1011" t="s">
        <v>48</v>
      </c>
      <c r="G1011">
        <v>16747</v>
      </c>
      <c r="H1011">
        <v>9</v>
      </c>
      <c r="I1011">
        <v>11</v>
      </c>
      <c r="J1011" t="s">
        <v>22</v>
      </c>
      <c r="K1011" s="4">
        <f>Table1[[#This Row],[Sales]]*Table1[[#This Row],[Quantity]]</f>
        <v>150723</v>
      </c>
      <c r="L1011" s="4">
        <f>Table1[[#This Row],[Revenue]]-(Table1[[#This Row],[Revenue]]*Table1[[#This Row],[Discount]]/100)</f>
        <v>134143.47</v>
      </c>
    </row>
    <row r="1012" spans="1:12" x14ac:dyDescent="0.55000000000000004">
      <c r="A1012" t="s">
        <v>1041</v>
      </c>
      <c r="B1012" s="2">
        <v>45282</v>
      </c>
      <c r="C1012" t="s">
        <v>15</v>
      </c>
      <c r="D1012" t="s">
        <v>16</v>
      </c>
      <c r="E1012" t="s">
        <v>17</v>
      </c>
      <c r="F1012" t="s">
        <v>29</v>
      </c>
      <c r="G1012">
        <v>23104</v>
      </c>
      <c r="H1012">
        <v>6</v>
      </c>
      <c r="I1012">
        <v>26</v>
      </c>
      <c r="J1012" t="s">
        <v>22</v>
      </c>
      <c r="K1012" s="4">
        <f>Table1[[#This Row],[Sales]]*Table1[[#This Row],[Quantity]]</f>
        <v>138624</v>
      </c>
      <c r="L1012" s="4">
        <f>Table1[[#This Row],[Revenue]]-(Table1[[#This Row],[Revenue]]*Table1[[#This Row],[Discount]]/100)</f>
        <v>102581.76000000001</v>
      </c>
    </row>
    <row r="1013" spans="1:12" x14ac:dyDescent="0.55000000000000004">
      <c r="A1013" t="s">
        <v>1042</v>
      </c>
      <c r="B1013" s="2">
        <v>45097</v>
      </c>
      <c r="C1013" t="s">
        <v>15</v>
      </c>
      <c r="D1013" t="s">
        <v>16</v>
      </c>
      <c r="E1013" t="s">
        <v>11</v>
      </c>
      <c r="F1013" t="s">
        <v>21</v>
      </c>
      <c r="G1013">
        <v>843</v>
      </c>
      <c r="H1013">
        <v>4</v>
      </c>
      <c r="I1013">
        <v>19</v>
      </c>
      <c r="J1013" t="s">
        <v>25</v>
      </c>
      <c r="K1013" s="4">
        <f>Table1[[#This Row],[Sales]]*Table1[[#This Row],[Quantity]]</f>
        <v>3372</v>
      </c>
      <c r="L1013" s="4">
        <f>Table1[[#This Row],[Revenue]]-(Table1[[#This Row],[Revenue]]*Table1[[#This Row],[Discount]]/100)</f>
        <v>2731.32</v>
      </c>
    </row>
    <row r="1014" spans="1:12" x14ac:dyDescent="0.55000000000000004">
      <c r="A1014" t="s">
        <v>1043</v>
      </c>
      <c r="B1014" s="2">
        <v>45253</v>
      </c>
      <c r="C1014" t="s">
        <v>15</v>
      </c>
      <c r="D1014" t="s">
        <v>27</v>
      </c>
      <c r="E1014" t="s">
        <v>17</v>
      </c>
      <c r="F1014" t="s">
        <v>48</v>
      </c>
      <c r="G1014">
        <v>33574</v>
      </c>
      <c r="H1014">
        <v>4</v>
      </c>
      <c r="I1014">
        <v>17</v>
      </c>
      <c r="J1014" t="s">
        <v>22</v>
      </c>
      <c r="K1014" s="4">
        <f>Table1[[#This Row],[Sales]]*Table1[[#This Row],[Quantity]]</f>
        <v>134296</v>
      </c>
      <c r="L1014" s="4">
        <f>Table1[[#This Row],[Revenue]]-(Table1[[#This Row],[Revenue]]*Table1[[#This Row],[Discount]]/100)</f>
        <v>111465.68</v>
      </c>
    </row>
    <row r="1015" spans="1:12" x14ac:dyDescent="0.55000000000000004">
      <c r="A1015" t="s">
        <v>1044</v>
      </c>
      <c r="B1015" s="2">
        <v>45291</v>
      </c>
      <c r="C1015" t="s">
        <v>15</v>
      </c>
      <c r="D1015" t="s">
        <v>20</v>
      </c>
      <c r="E1015" t="s">
        <v>17</v>
      </c>
      <c r="F1015" t="s">
        <v>12</v>
      </c>
      <c r="G1015">
        <v>24696</v>
      </c>
      <c r="H1015">
        <v>3</v>
      </c>
      <c r="I1015">
        <v>18</v>
      </c>
      <c r="J1015" t="s">
        <v>25</v>
      </c>
      <c r="K1015" s="4">
        <f>Table1[[#This Row],[Sales]]*Table1[[#This Row],[Quantity]]</f>
        <v>74088</v>
      </c>
      <c r="L1015" s="4">
        <f>Table1[[#This Row],[Revenue]]-(Table1[[#This Row],[Revenue]]*Table1[[#This Row],[Discount]]/100)</f>
        <v>60752.160000000003</v>
      </c>
    </row>
    <row r="1016" spans="1:12" x14ac:dyDescent="0.55000000000000004">
      <c r="A1016" t="s">
        <v>1045</v>
      </c>
      <c r="B1016" s="2">
        <v>45029</v>
      </c>
      <c r="C1016" t="s">
        <v>15</v>
      </c>
      <c r="D1016" t="s">
        <v>27</v>
      </c>
      <c r="E1016" t="s">
        <v>11</v>
      </c>
      <c r="F1016" t="s">
        <v>29</v>
      </c>
      <c r="G1016">
        <v>48197</v>
      </c>
      <c r="H1016">
        <v>10</v>
      </c>
      <c r="I1016">
        <v>11</v>
      </c>
      <c r="J1016" t="s">
        <v>25</v>
      </c>
      <c r="K1016" s="4">
        <f>Table1[[#This Row],[Sales]]*Table1[[#This Row],[Quantity]]</f>
        <v>481970</v>
      </c>
      <c r="L1016" s="4">
        <f>Table1[[#This Row],[Revenue]]-(Table1[[#This Row],[Revenue]]*Table1[[#This Row],[Discount]]/100)</f>
        <v>428953.3</v>
      </c>
    </row>
    <row r="1017" spans="1:12" x14ac:dyDescent="0.55000000000000004">
      <c r="A1017" t="s">
        <v>1046</v>
      </c>
      <c r="B1017" s="2">
        <v>45271</v>
      </c>
      <c r="C1017" t="s">
        <v>15</v>
      </c>
      <c r="D1017" t="s">
        <v>37</v>
      </c>
      <c r="E1017" t="s">
        <v>17</v>
      </c>
      <c r="F1017" t="s">
        <v>29</v>
      </c>
      <c r="G1017">
        <v>30724</v>
      </c>
      <c r="H1017">
        <v>6</v>
      </c>
      <c r="I1017">
        <v>28</v>
      </c>
      <c r="J1017" t="s">
        <v>22</v>
      </c>
      <c r="K1017" s="4">
        <f>Table1[[#This Row],[Sales]]*Table1[[#This Row],[Quantity]]</f>
        <v>184344</v>
      </c>
      <c r="L1017" s="4">
        <f>Table1[[#This Row],[Revenue]]-(Table1[[#This Row],[Revenue]]*Table1[[#This Row],[Discount]]/100)</f>
        <v>132727.67999999999</v>
      </c>
    </row>
    <row r="1018" spans="1:12" x14ac:dyDescent="0.55000000000000004">
      <c r="A1018" t="s">
        <v>1047</v>
      </c>
      <c r="B1018" s="2">
        <v>45099</v>
      </c>
      <c r="C1018" t="s">
        <v>24</v>
      </c>
      <c r="D1018" t="s">
        <v>37</v>
      </c>
      <c r="E1018" t="s">
        <v>11</v>
      </c>
      <c r="F1018" t="s">
        <v>34</v>
      </c>
      <c r="G1018">
        <v>35486</v>
      </c>
      <c r="H1018">
        <v>7</v>
      </c>
      <c r="I1018">
        <v>19</v>
      </c>
      <c r="J1018" t="s">
        <v>22</v>
      </c>
      <c r="K1018" s="4">
        <f>Table1[[#This Row],[Sales]]*Table1[[#This Row],[Quantity]]</f>
        <v>248402</v>
      </c>
      <c r="L1018" s="4">
        <f>Table1[[#This Row],[Revenue]]-(Table1[[#This Row],[Revenue]]*Table1[[#This Row],[Discount]]/100)</f>
        <v>201205.62</v>
      </c>
    </row>
    <row r="1019" spans="1:12" x14ac:dyDescent="0.55000000000000004">
      <c r="A1019" t="s">
        <v>1048</v>
      </c>
      <c r="B1019" s="2">
        <v>44973</v>
      </c>
      <c r="C1019" t="s">
        <v>19</v>
      </c>
      <c r="D1019" t="s">
        <v>37</v>
      </c>
      <c r="E1019" t="s">
        <v>17</v>
      </c>
      <c r="F1019" t="s">
        <v>29</v>
      </c>
      <c r="G1019">
        <v>9927</v>
      </c>
      <c r="H1019">
        <v>10</v>
      </c>
      <c r="I1019">
        <v>2</v>
      </c>
      <c r="J1019" t="s">
        <v>25</v>
      </c>
      <c r="K1019" s="4">
        <f>Table1[[#This Row],[Sales]]*Table1[[#This Row],[Quantity]]</f>
        <v>99270</v>
      </c>
      <c r="L1019" s="4">
        <f>Table1[[#This Row],[Revenue]]-(Table1[[#This Row],[Revenue]]*Table1[[#This Row],[Discount]]/100)</f>
        <v>97284.6</v>
      </c>
    </row>
    <row r="1020" spans="1:12" x14ac:dyDescent="0.55000000000000004">
      <c r="A1020" t="s">
        <v>1049</v>
      </c>
      <c r="B1020" s="2">
        <v>45068</v>
      </c>
      <c r="C1020" t="s">
        <v>15</v>
      </c>
      <c r="D1020" t="s">
        <v>16</v>
      </c>
      <c r="E1020" t="s">
        <v>11</v>
      </c>
      <c r="F1020" t="s">
        <v>21</v>
      </c>
      <c r="G1020">
        <v>37043</v>
      </c>
      <c r="H1020">
        <v>3</v>
      </c>
      <c r="I1020">
        <v>17</v>
      </c>
      <c r="J1020" t="s">
        <v>25</v>
      </c>
      <c r="K1020" s="4">
        <f>Table1[[#This Row],[Sales]]*Table1[[#This Row],[Quantity]]</f>
        <v>111129</v>
      </c>
      <c r="L1020" s="4">
        <f>Table1[[#This Row],[Revenue]]-(Table1[[#This Row],[Revenue]]*Table1[[#This Row],[Discount]]/100)</f>
        <v>92237.07</v>
      </c>
    </row>
    <row r="1021" spans="1:12" x14ac:dyDescent="0.55000000000000004">
      <c r="A1021" t="s">
        <v>1050</v>
      </c>
      <c r="B1021" s="2">
        <v>45209</v>
      </c>
      <c r="C1021" t="s">
        <v>15</v>
      </c>
      <c r="D1021" t="s">
        <v>37</v>
      </c>
      <c r="E1021" t="s">
        <v>11</v>
      </c>
      <c r="F1021" t="s">
        <v>21</v>
      </c>
      <c r="G1021">
        <v>1840</v>
      </c>
      <c r="H1021">
        <v>8</v>
      </c>
      <c r="I1021">
        <v>6</v>
      </c>
      <c r="J1021" t="s">
        <v>13</v>
      </c>
      <c r="K1021" s="4">
        <f>Table1[[#This Row],[Sales]]*Table1[[#This Row],[Quantity]]</f>
        <v>14720</v>
      </c>
      <c r="L1021" s="4">
        <f>Table1[[#This Row],[Revenue]]-(Table1[[#This Row],[Revenue]]*Table1[[#This Row],[Discount]]/100)</f>
        <v>13836.8</v>
      </c>
    </row>
    <row r="1022" spans="1:12" x14ac:dyDescent="0.55000000000000004">
      <c r="A1022" t="s">
        <v>1051</v>
      </c>
      <c r="B1022" s="2">
        <v>45222</v>
      </c>
      <c r="C1022" t="s">
        <v>15</v>
      </c>
      <c r="D1022" t="s">
        <v>37</v>
      </c>
      <c r="E1022" t="s">
        <v>11</v>
      </c>
      <c r="F1022" t="s">
        <v>34</v>
      </c>
      <c r="G1022">
        <v>32803</v>
      </c>
      <c r="H1022">
        <v>6</v>
      </c>
      <c r="I1022">
        <v>15</v>
      </c>
      <c r="J1022" t="s">
        <v>13</v>
      </c>
      <c r="K1022" s="4">
        <f>Table1[[#This Row],[Sales]]*Table1[[#This Row],[Quantity]]</f>
        <v>196818</v>
      </c>
      <c r="L1022" s="4">
        <f>Table1[[#This Row],[Revenue]]-(Table1[[#This Row],[Revenue]]*Table1[[#This Row],[Discount]]/100)</f>
        <v>167295.29999999999</v>
      </c>
    </row>
    <row r="1023" spans="1:12" x14ac:dyDescent="0.55000000000000004">
      <c r="A1023" t="s">
        <v>1052</v>
      </c>
      <c r="B1023" s="2">
        <v>45282</v>
      </c>
      <c r="C1023" t="s">
        <v>24</v>
      </c>
      <c r="D1023" t="s">
        <v>37</v>
      </c>
      <c r="E1023" t="s">
        <v>17</v>
      </c>
      <c r="F1023" t="s">
        <v>21</v>
      </c>
      <c r="G1023">
        <v>18976</v>
      </c>
      <c r="H1023">
        <v>5</v>
      </c>
      <c r="I1023">
        <v>12</v>
      </c>
      <c r="J1023" t="s">
        <v>13</v>
      </c>
      <c r="K1023" s="4">
        <f>Table1[[#This Row],[Sales]]*Table1[[#This Row],[Quantity]]</f>
        <v>94880</v>
      </c>
      <c r="L1023" s="4">
        <f>Table1[[#This Row],[Revenue]]-(Table1[[#This Row],[Revenue]]*Table1[[#This Row],[Discount]]/100)</f>
        <v>83494.399999999994</v>
      </c>
    </row>
    <row r="1024" spans="1:12" x14ac:dyDescent="0.55000000000000004">
      <c r="A1024" t="s">
        <v>1053</v>
      </c>
      <c r="B1024" s="2">
        <v>45180</v>
      </c>
      <c r="C1024" t="s">
        <v>31</v>
      </c>
      <c r="D1024" t="s">
        <v>16</v>
      </c>
      <c r="E1024" t="s">
        <v>11</v>
      </c>
      <c r="F1024" t="s">
        <v>29</v>
      </c>
      <c r="G1024">
        <v>43768</v>
      </c>
      <c r="H1024">
        <v>9</v>
      </c>
      <c r="I1024">
        <v>19</v>
      </c>
      <c r="J1024" t="s">
        <v>13</v>
      </c>
      <c r="K1024" s="4">
        <f>Table1[[#This Row],[Sales]]*Table1[[#This Row],[Quantity]]</f>
        <v>393912</v>
      </c>
      <c r="L1024" s="4">
        <f>Table1[[#This Row],[Revenue]]-(Table1[[#This Row],[Revenue]]*Table1[[#This Row],[Discount]]/100)</f>
        <v>319068.71999999997</v>
      </c>
    </row>
    <row r="1025" spans="1:12" x14ac:dyDescent="0.55000000000000004">
      <c r="A1025" t="s">
        <v>1054</v>
      </c>
      <c r="B1025" s="2">
        <v>45014</v>
      </c>
      <c r="C1025" t="s">
        <v>19</v>
      </c>
      <c r="D1025" t="s">
        <v>20</v>
      </c>
      <c r="E1025" t="s">
        <v>11</v>
      </c>
      <c r="F1025" t="s">
        <v>21</v>
      </c>
      <c r="G1025">
        <v>4724</v>
      </c>
      <c r="H1025">
        <v>3</v>
      </c>
      <c r="I1025">
        <v>8</v>
      </c>
      <c r="J1025" t="s">
        <v>13</v>
      </c>
      <c r="K1025" s="4">
        <f>Table1[[#This Row],[Sales]]*Table1[[#This Row],[Quantity]]</f>
        <v>14172</v>
      </c>
      <c r="L1025" s="4">
        <f>Table1[[#This Row],[Revenue]]-(Table1[[#This Row],[Revenue]]*Table1[[#This Row],[Discount]]/100)</f>
        <v>13038.24</v>
      </c>
    </row>
    <row r="1026" spans="1:12" x14ac:dyDescent="0.55000000000000004">
      <c r="A1026" t="s">
        <v>1055</v>
      </c>
      <c r="B1026" s="2">
        <v>45110</v>
      </c>
      <c r="C1026" t="s">
        <v>24</v>
      </c>
      <c r="D1026" t="s">
        <v>37</v>
      </c>
      <c r="E1026" t="s">
        <v>17</v>
      </c>
      <c r="F1026" t="s">
        <v>12</v>
      </c>
      <c r="G1026">
        <v>34564</v>
      </c>
      <c r="H1026">
        <v>2</v>
      </c>
      <c r="I1026">
        <v>13</v>
      </c>
      <c r="J1026" t="s">
        <v>13</v>
      </c>
      <c r="K1026" s="4">
        <f>Table1[[#This Row],[Sales]]*Table1[[#This Row],[Quantity]]</f>
        <v>69128</v>
      </c>
      <c r="L1026" s="4">
        <f>Table1[[#This Row],[Revenue]]-(Table1[[#This Row],[Revenue]]*Table1[[#This Row],[Discount]]/100)</f>
        <v>60141.36</v>
      </c>
    </row>
    <row r="1027" spans="1:12" x14ac:dyDescent="0.55000000000000004">
      <c r="A1027" t="s">
        <v>1056</v>
      </c>
      <c r="B1027" s="2">
        <v>45130</v>
      </c>
      <c r="C1027" t="s">
        <v>31</v>
      </c>
      <c r="D1027" t="s">
        <v>27</v>
      </c>
      <c r="E1027" t="s">
        <v>11</v>
      </c>
      <c r="F1027" t="s">
        <v>21</v>
      </c>
      <c r="G1027">
        <v>3124</v>
      </c>
      <c r="H1027">
        <v>10</v>
      </c>
      <c r="I1027">
        <v>9</v>
      </c>
      <c r="J1027" t="s">
        <v>13</v>
      </c>
      <c r="K1027" s="4">
        <f>Table1[[#This Row],[Sales]]*Table1[[#This Row],[Quantity]]</f>
        <v>31240</v>
      </c>
      <c r="L1027" s="4">
        <f>Table1[[#This Row],[Revenue]]-(Table1[[#This Row],[Revenue]]*Table1[[#This Row],[Discount]]/100)</f>
        <v>28428.400000000001</v>
      </c>
    </row>
    <row r="1028" spans="1:12" x14ac:dyDescent="0.55000000000000004">
      <c r="A1028" t="s">
        <v>1057</v>
      </c>
      <c r="B1028" s="2">
        <v>45273</v>
      </c>
      <c r="C1028" t="s">
        <v>15</v>
      </c>
      <c r="D1028" t="s">
        <v>16</v>
      </c>
      <c r="E1028" t="s">
        <v>17</v>
      </c>
      <c r="F1028" t="s">
        <v>21</v>
      </c>
      <c r="G1028">
        <v>27770</v>
      </c>
      <c r="H1028">
        <v>2</v>
      </c>
      <c r="I1028">
        <v>8</v>
      </c>
      <c r="J1028" t="s">
        <v>25</v>
      </c>
      <c r="K1028" s="4">
        <f>Table1[[#This Row],[Sales]]*Table1[[#This Row],[Quantity]]</f>
        <v>55540</v>
      </c>
      <c r="L1028" s="4">
        <f>Table1[[#This Row],[Revenue]]-(Table1[[#This Row],[Revenue]]*Table1[[#This Row],[Discount]]/100)</f>
        <v>51096.800000000003</v>
      </c>
    </row>
    <row r="1029" spans="1:12" x14ac:dyDescent="0.55000000000000004">
      <c r="A1029" t="s">
        <v>1058</v>
      </c>
      <c r="B1029" s="2">
        <v>45062</v>
      </c>
      <c r="C1029" t="s">
        <v>19</v>
      </c>
      <c r="D1029" t="s">
        <v>20</v>
      </c>
      <c r="E1029" t="s">
        <v>11</v>
      </c>
      <c r="F1029" t="s">
        <v>34</v>
      </c>
      <c r="G1029">
        <v>12324</v>
      </c>
      <c r="H1029">
        <v>6</v>
      </c>
      <c r="I1029">
        <v>24</v>
      </c>
      <c r="J1029" t="s">
        <v>13</v>
      </c>
      <c r="K1029" s="4">
        <f>Table1[[#This Row],[Sales]]*Table1[[#This Row],[Quantity]]</f>
        <v>73944</v>
      </c>
      <c r="L1029" s="4">
        <f>Table1[[#This Row],[Revenue]]-(Table1[[#This Row],[Revenue]]*Table1[[#This Row],[Discount]]/100)</f>
        <v>56197.440000000002</v>
      </c>
    </row>
    <row r="1030" spans="1:12" x14ac:dyDescent="0.55000000000000004">
      <c r="A1030" t="s">
        <v>1059</v>
      </c>
      <c r="B1030" s="2">
        <v>45078</v>
      </c>
      <c r="C1030" t="s">
        <v>15</v>
      </c>
      <c r="D1030" t="s">
        <v>27</v>
      </c>
      <c r="E1030" t="s">
        <v>17</v>
      </c>
      <c r="F1030" t="s">
        <v>48</v>
      </c>
      <c r="G1030">
        <v>20536</v>
      </c>
      <c r="H1030">
        <v>3</v>
      </c>
      <c r="I1030">
        <v>18</v>
      </c>
      <c r="J1030" t="s">
        <v>25</v>
      </c>
      <c r="K1030" s="4">
        <f>Table1[[#This Row],[Sales]]*Table1[[#This Row],[Quantity]]</f>
        <v>61608</v>
      </c>
      <c r="L1030" s="4">
        <f>Table1[[#This Row],[Revenue]]-(Table1[[#This Row],[Revenue]]*Table1[[#This Row],[Discount]]/100)</f>
        <v>50518.559999999998</v>
      </c>
    </row>
    <row r="1031" spans="1:12" x14ac:dyDescent="0.55000000000000004">
      <c r="A1031" t="s">
        <v>1060</v>
      </c>
      <c r="B1031" s="2">
        <v>45042</v>
      </c>
      <c r="C1031" t="s">
        <v>24</v>
      </c>
      <c r="D1031" t="s">
        <v>16</v>
      </c>
      <c r="E1031" t="s">
        <v>11</v>
      </c>
      <c r="F1031" t="s">
        <v>38</v>
      </c>
      <c r="G1031">
        <v>28944</v>
      </c>
      <c r="H1031">
        <v>2</v>
      </c>
      <c r="I1031">
        <v>14</v>
      </c>
      <c r="J1031" t="s">
        <v>25</v>
      </c>
      <c r="K1031" s="4">
        <f>Table1[[#This Row],[Sales]]*Table1[[#This Row],[Quantity]]</f>
        <v>57888</v>
      </c>
      <c r="L1031" s="4">
        <f>Table1[[#This Row],[Revenue]]-(Table1[[#This Row],[Revenue]]*Table1[[#This Row],[Discount]]/100)</f>
        <v>49783.68</v>
      </c>
    </row>
    <row r="1032" spans="1:12" x14ac:dyDescent="0.55000000000000004">
      <c r="A1032" t="s">
        <v>1061</v>
      </c>
      <c r="B1032" s="2">
        <v>45265</v>
      </c>
      <c r="C1032" t="s">
        <v>24</v>
      </c>
      <c r="D1032" t="s">
        <v>46</v>
      </c>
      <c r="E1032" t="s">
        <v>17</v>
      </c>
      <c r="F1032" t="s">
        <v>34</v>
      </c>
      <c r="G1032">
        <v>8344</v>
      </c>
      <c r="H1032">
        <v>7</v>
      </c>
      <c r="I1032">
        <v>19</v>
      </c>
      <c r="J1032" t="s">
        <v>22</v>
      </c>
      <c r="K1032" s="4">
        <f>Table1[[#This Row],[Sales]]*Table1[[#This Row],[Quantity]]</f>
        <v>58408</v>
      </c>
      <c r="L1032" s="4">
        <f>Table1[[#This Row],[Revenue]]-(Table1[[#This Row],[Revenue]]*Table1[[#This Row],[Discount]]/100)</f>
        <v>47310.479999999996</v>
      </c>
    </row>
    <row r="1033" spans="1:12" x14ac:dyDescent="0.55000000000000004">
      <c r="A1033" t="s">
        <v>1062</v>
      </c>
      <c r="B1033" s="2">
        <v>45077</v>
      </c>
      <c r="C1033" t="s">
        <v>19</v>
      </c>
      <c r="D1033" t="s">
        <v>20</v>
      </c>
      <c r="E1033" t="s">
        <v>17</v>
      </c>
      <c r="F1033" t="s">
        <v>48</v>
      </c>
      <c r="G1033">
        <v>35948</v>
      </c>
      <c r="H1033">
        <v>9</v>
      </c>
      <c r="I1033">
        <v>3</v>
      </c>
      <c r="J1033" t="s">
        <v>25</v>
      </c>
      <c r="K1033" s="4">
        <f>Table1[[#This Row],[Sales]]*Table1[[#This Row],[Quantity]]</f>
        <v>323532</v>
      </c>
      <c r="L1033" s="4">
        <f>Table1[[#This Row],[Revenue]]-(Table1[[#This Row],[Revenue]]*Table1[[#This Row],[Discount]]/100)</f>
        <v>313826.03999999998</v>
      </c>
    </row>
    <row r="1034" spans="1:12" x14ac:dyDescent="0.55000000000000004">
      <c r="A1034" t="s">
        <v>1063</v>
      </c>
      <c r="B1034" s="2">
        <v>44992</v>
      </c>
      <c r="C1034" t="s">
        <v>24</v>
      </c>
      <c r="D1034" t="s">
        <v>37</v>
      </c>
      <c r="E1034" t="s">
        <v>11</v>
      </c>
      <c r="F1034" t="s">
        <v>34</v>
      </c>
      <c r="G1034">
        <v>35564</v>
      </c>
      <c r="H1034">
        <v>7</v>
      </c>
      <c r="I1034">
        <v>8</v>
      </c>
      <c r="J1034" t="s">
        <v>13</v>
      </c>
      <c r="K1034" s="4">
        <f>Table1[[#This Row],[Sales]]*Table1[[#This Row],[Quantity]]</f>
        <v>248948</v>
      </c>
      <c r="L1034" s="4">
        <f>Table1[[#This Row],[Revenue]]-(Table1[[#This Row],[Revenue]]*Table1[[#This Row],[Discount]]/100)</f>
        <v>229032.16</v>
      </c>
    </row>
    <row r="1035" spans="1:12" x14ac:dyDescent="0.55000000000000004">
      <c r="A1035" t="s">
        <v>1064</v>
      </c>
      <c r="B1035" s="2">
        <v>45069</v>
      </c>
      <c r="C1035" t="s">
        <v>15</v>
      </c>
      <c r="D1035" t="s">
        <v>16</v>
      </c>
      <c r="E1035" t="s">
        <v>11</v>
      </c>
      <c r="F1035" t="s">
        <v>44</v>
      </c>
      <c r="G1035">
        <v>27295</v>
      </c>
      <c r="H1035">
        <v>5</v>
      </c>
      <c r="I1035">
        <v>1</v>
      </c>
      <c r="J1035" t="s">
        <v>25</v>
      </c>
      <c r="K1035" s="4">
        <f>Table1[[#This Row],[Sales]]*Table1[[#This Row],[Quantity]]</f>
        <v>136475</v>
      </c>
      <c r="L1035" s="4">
        <f>Table1[[#This Row],[Revenue]]-(Table1[[#This Row],[Revenue]]*Table1[[#This Row],[Discount]]/100)</f>
        <v>135110.25</v>
      </c>
    </row>
    <row r="1036" spans="1:12" x14ac:dyDescent="0.55000000000000004">
      <c r="A1036" t="s">
        <v>1065</v>
      </c>
      <c r="B1036" s="2">
        <v>44972</v>
      </c>
      <c r="C1036" t="s">
        <v>19</v>
      </c>
      <c r="D1036" t="s">
        <v>20</v>
      </c>
      <c r="E1036" t="s">
        <v>11</v>
      </c>
      <c r="F1036" t="s">
        <v>34</v>
      </c>
      <c r="G1036">
        <v>23056</v>
      </c>
      <c r="H1036">
        <v>6</v>
      </c>
      <c r="I1036">
        <v>30</v>
      </c>
      <c r="J1036" t="s">
        <v>22</v>
      </c>
      <c r="K1036" s="4">
        <f>Table1[[#This Row],[Sales]]*Table1[[#This Row],[Quantity]]</f>
        <v>138336</v>
      </c>
      <c r="L1036" s="4">
        <f>Table1[[#This Row],[Revenue]]-(Table1[[#This Row],[Revenue]]*Table1[[#This Row],[Discount]]/100)</f>
        <v>96835.199999999997</v>
      </c>
    </row>
    <row r="1037" spans="1:12" x14ac:dyDescent="0.55000000000000004">
      <c r="A1037" t="s">
        <v>1066</v>
      </c>
      <c r="B1037" s="2">
        <v>44965</v>
      </c>
      <c r="C1037" t="s">
        <v>31</v>
      </c>
      <c r="D1037" t="s">
        <v>16</v>
      </c>
      <c r="E1037" t="s">
        <v>11</v>
      </c>
      <c r="F1037" t="s">
        <v>38</v>
      </c>
      <c r="G1037">
        <v>22931</v>
      </c>
      <c r="H1037">
        <v>10</v>
      </c>
      <c r="I1037">
        <v>9</v>
      </c>
      <c r="J1037" t="s">
        <v>22</v>
      </c>
      <c r="K1037" s="4">
        <f>Table1[[#This Row],[Sales]]*Table1[[#This Row],[Quantity]]</f>
        <v>229310</v>
      </c>
      <c r="L1037" s="4">
        <f>Table1[[#This Row],[Revenue]]-(Table1[[#This Row],[Revenue]]*Table1[[#This Row],[Discount]]/100)</f>
        <v>208672.1</v>
      </c>
    </row>
    <row r="1038" spans="1:12" x14ac:dyDescent="0.55000000000000004">
      <c r="A1038" t="s">
        <v>1067</v>
      </c>
      <c r="B1038" s="2">
        <v>44966</v>
      </c>
      <c r="C1038" t="s">
        <v>15</v>
      </c>
      <c r="D1038" t="s">
        <v>16</v>
      </c>
      <c r="E1038" t="s">
        <v>17</v>
      </c>
      <c r="F1038" t="s">
        <v>29</v>
      </c>
      <c r="G1038">
        <v>7438</v>
      </c>
      <c r="H1038">
        <v>2</v>
      </c>
      <c r="I1038">
        <v>3</v>
      </c>
      <c r="J1038" t="s">
        <v>22</v>
      </c>
      <c r="K1038" s="4">
        <f>Table1[[#This Row],[Sales]]*Table1[[#This Row],[Quantity]]</f>
        <v>14876</v>
      </c>
      <c r="L1038" s="4">
        <f>Table1[[#This Row],[Revenue]]-(Table1[[#This Row],[Revenue]]*Table1[[#This Row],[Discount]]/100)</f>
        <v>14429.72</v>
      </c>
    </row>
    <row r="1039" spans="1:12" x14ac:dyDescent="0.55000000000000004">
      <c r="A1039" t="s">
        <v>1068</v>
      </c>
      <c r="B1039" s="2">
        <v>44932</v>
      </c>
      <c r="C1039" t="s">
        <v>15</v>
      </c>
      <c r="D1039" t="s">
        <v>37</v>
      </c>
      <c r="E1039" t="s">
        <v>17</v>
      </c>
      <c r="F1039" t="s">
        <v>29</v>
      </c>
      <c r="G1039">
        <v>48680</v>
      </c>
      <c r="H1039">
        <v>10</v>
      </c>
      <c r="I1039">
        <v>16</v>
      </c>
      <c r="J1039" t="s">
        <v>25</v>
      </c>
      <c r="K1039" s="4">
        <f>Table1[[#This Row],[Sales]]*Table1[[#This Row],[Quantity]]</f>
        <v>486800</v>
      </c>
      <c r="L1039" s="4">
        <f>Table1[[#This Row],[Revenue]]-(Table1[[#This Row],[Revenue]]*Table1[[#This Row],[Discount]]/100)</f>
        <v>408912</v>
      </c>
    </row>
    <row r="1040" spans="1:12" x14ac:dyDescent="0.55000000000000004">
      <c r="A1040" t="s">
        <v>1069</v>
      </c>
      <c r="B1040" s="2">
        <v>44953</v>
      </c>
      <c r="C1040" t="s">
        <v>24</v>
      </c>
      <c r="D1040" t="s">
        <v>20</v>
      </c>
      <c r="E1040" t="s">
        <v>11</v>
      </c>
      <c r="F1040" t="s">
        <v>34</v>
      </c>
      <c r="G1040">
        <v>13546</v>
      </c>
      <c r="H1040">
        <v>4</v>
      </c>
      <c r="I1040">
        <v>14</v>
      </c>
      <c r="J1040" t="s">
        <v>13</v>
      </c>
      <c r="K1040" s="4">
        <f>Table1[[#This Row],[Sales]]*Table1[[#This Row],[Quantity]]</f>
        <v>54184</v>
      </c>
      <c r="L1040" s="4">
        <f>Table1[[#This Row],[Revenue]]-(Table1[[#This Row],[Revenue]]*Table1[[#This Row],[Discount]]/100)</f>
        <v>46598.239999999998</v>
      </c>
    </row>
    <row r="1041" spans="1:12" x14ac:dyDescent="0.55000000000000004">
      <c r="A1041" t="s">
        <v>1070</v>
      </c>
      <c r="B1041" s="2">
        <v>45090</v>
      </c>
      <c r="C1041" t="s">
        <v>31</v>
      </c>
      <c r="D1041" t="s">
        <v>37</v>
      </c>
      <c r="E1041" t="s">
        <v>17</v>
      </c>
      <c r="F1041" t="s">
        <v>21</v>
      </c>
      <c r="G1041">
        <v>666</v>
      </c>
      <c r="H1041">
        <v>9</v>
      </c>
      <c r="I1041">
        <v>22</v>
      </c>
      <c r="J1041" t="s">
        <v>25</v>
      </c>
      <c r="K1041" s="4">
        <f>Table1[[#This Row],[Sales]]*Table1[[#This Row],[Quantity]]</f>
        <v>5994</v>
      </c>
      <c r="L1041" s="4">
        <f>Table1[[#This Row],[Revenue]]-(Table1[[#This Row],[Revenue]]*Table1[[#This Row],[Discount]]/100)</f>
        <v>4675.32</v>
      </c>
    </row>
    <row r="1042" spans="1:12" x14ac:dyDescent="0.55000000000000004">
      <c r="A1042" t="s">
        <v>1071</v>
      </c>
      <c r="B1042" s="2">
        <v>45009</v>
      </c>
      <c r="C1042" t="s">
        <v>15</v>
      </c>
      <c r="D1042" t="s">
        <v>16</v>
      </c>
      <c r="E1042" t="s">
        <v>17</v>
      </c>
      <c r="F1042" t="s">
        <v>38</v>
      </c>
      <c r="G1042">
        <v>29522</v>
      </c>
      <c r="H1042">
        <v>4</v>
      </c>
      <c r="I1042">
        <v>8</v>
      </c>
      <c r="J1042" t="s">
        <v>25</v>
      </c>
      <c r="K1042" s="4">
        <f>Table1[[#This Row],[Sales]]*Table1[[#This Row],[Quantity]]</f>
        <v>118088</v>
      </c>
      <c r="L1042" s="4">
        <f>Table1[[#This Row],[Revenue]]-(Table1[[#This Row],[Revenue]]*Table1[[#This Row],[Discount]]/100)</f>
        <v>108640.95999999999</v>
      </c>
    </row>
    <row r="1043" spans="1:12" x14ac:dyDescent="0.55000000000000004">
      <c r="A1043" t="s">
        <v>1072</v>
      </c>
      <c r="B1043" s="2">
        <v>45029</v>
      </c>
      <c r="C1043" t="s">
        <v>31</v>
      </c>
      <c r="D1043" t="s">
        <v>16</v>
      </c>
      <c r="E1043" t="s">
        <v>11</v>
      </c>
      <c r="F1043" t="s">
        <v>29</v>
      </c>
      <c r="G1043">
        <v>34</v>
      </c>
      <c r="H1043">
        <v>9</v>
      </c>
      <c r="I1043">
        <v>24</v>
      </c>
      <c r="J1043" t="s">
        <v>22</v>
      </c>
      <c r="K1043" s="4">
        <f>Table1[[#This Row],[Sales]]*Table1[[#This Row],[Quantity]]</f>
        <v>306</v>
      </c>
      <c r="L1043" s="4">
        <f>Table1[[#This Row],[Revenue]]-(Table1[[#This Row],[Revenue]]*Table1[[#This Row],[Discount]]/100)</f>
        <v>232.56</v>
      </c>
    </row>
    <row r="1044" spans="1:12" x14ac:dyDescent="0.55000000000000004">
      <c r="A1044" t="s">
        <v>1073</v>
      </c>
      <c r="B1044" s="2">
        <v>44944</v>
      </c>
      <c r="C1044" t="s">
        <v>19</v>
      </c>
      <c r="D1044" t="s">
        <v>27</v>
      </c>
      <c r="E1044" t="s">
        <v>11</v>
      </c>
      <c r="F1044" t="s">
        <v>34</v>
      </c>
      <c r="G1044">
        <v>441</v>
      </c>
      <c r="H1044">
        <v>7</v>
      </c>
      <c r="I1044">
        <v>3</v>
      </c>
      <c r="J1044" t="s">
        <v>22</v>
      </c>
      <c r="K1044" s="4">
        <f>Table1[[#This Row],[Sales]]*Table1[[#This Row],[Quantity]]</f>
        <v>3087</v>
      </c>
      <c r="L1044" s="4">
        <f>Table1[[#This Row],[Revenue]]-(Table1[[#This Row],[Revenue]]*Table1[[#This Row],[Discount]]/100)</f>
        <v>2994.39</v>
      </c>
    </row>
    <row r="1045" spans="1:12" x14ac:dyDescent="0.55000000000000004">
      <c r="A1045" t="s">
        <v>1074</v>
      </c>
      <c r="B1045" s="2">
        <v>45238</v>
      </c>
      <c r="C1045" t="s">
        <v>15</v>
      </c>
      <c r="D1045" t="s">
        <v>20</v>
      </c>
      <c r="E1045" t="s">
        <v>17</v>
      </c>
      <c r="F1045" t="s">
        <v>12</v>
      </c>
      <c r="G1045">
        <v>38305</v>
      </c>
      <c r="H1045">
        <v>10</v>
      </c>
      <c r="I1045">
        <v>29</v>
      </c>
      <c r="J1045" t="s">
        <v>13</v>
      </c>
      <c r="K1045" s="4">
        <f>Table1[[#This Row],[Sales]]*Table1[[#This Row],[Quantity]]</f>
        <v>383050</v>
      </c>
      <c r="L1045" s="4">
        <f>Table1[[#This Row],[Revenue]]-(Table1[[#This Row],[Revenue]]*Table1[[#This Row],[Discount]]/100)</f>
        <v>271965.5</v>
      </c>
    </row>
    <row r="1046" spans="1:12" x14ac:dyDescent="0.55000000000000004">
      <c r="A1046" t="s">
        <v>1075</v>
      </c>
      <c r="B1046" s="2">
        <v>45158</v>
      </c>
      <c r="C1046" t="s">
        <v>31</v>
      </c>
      <c r="D1046" t="s">
        <v>16</v>
      </c>
      <c r="E1046" t="s">
        <v>11</v>
      </c>
      <c r="F1046" t="s">
        <v>38</v>
      </c>
      <c r="G1046">
        <v>47757</v>
      </c>
      <c r="H1046">
        <v>2</v>
      </c>
      <c r="I1046">
        <v>10</v>
      </c>
      <c r="J1046" t="s">
        <v>25</v>
      </c>
      <c r="K1046" s="4">
        <f>Table1[[#This Row],[Sales]]*Table1[[#This Row],[Quantity]]</f>
        <v>95514</v>
      </c>
      <c r="L1046" s="4">
        <f>Table1[[#This Row],[Revenue]]-(Table1[[#This Row],[Revenue]]*Table1[[#This Row],[Discount]]/100)</f>
        <v>85962.6</v>
      </c>
    </row>
    <row r="1047" spans="1:12" x14ac:dyDescent="0.55000000000000004">
      <c r="A1047" t="s">
        <v>1076</v>
      </c>
      <c r="B1047" s="2">
        <v>45227</v>
      </c>
      <c r="C1047" t="s">
        <v>19</v>
      </c>
      <c r="D1047" t="s">
        <v>16</v>
      </c>
      <c r="E1047" t="s">
        <v>11</v>
      </c>
      <c r="F1047" t="s">
        <v>21</v>
      </c>
      <c r="G1047">
        <v>38769</v>
      </c>
      <c r="H1047">
        <v>10</v>
      </c>
      <c r="I1047">
        <v>3</v>
      </c>
      <c r="J1047" t="s">
        <v>25</v>
      </c>
      <c r="K1047" s="4">
        <f>Table1[[#This Row],[Sales]]*Table1[[#This Row],[Quantity]]</f>
        <v>387690</v>
      </c>
      <c r="L1047" s="4">
        <f>Table1[[#This Row],[Revenue]]-(Table1[[#This Row],[Revenue]]*Table1[[#This Row],[Discount]]/100)</f>
        <v>376059.3</v>
      </c>
    </row>
    <row r="1048" spans="1:12" x14ac:dyDescent="0.55000000000000004">
      <c r="A1048" t="s">
        <v>1077</v>
      </c>
      <c r="B1048" s="2">
        <v>45233</v>
      </c>
      <c r="C1048" t="s">
        <v>24</v>
      </c>
      <c r="D1048" t="s">
        <v>27</v>
      </c>
      <c r="E1048" t="s">
        <v>11</v>
      </c>
      <c r="F1048" t="s">
        <v>48</v>
      </c>
      <c r="G1048">
        <v>4928</v>
      </c>
      <c r="H1048">
        <v>9</v>
      </c>
      <c r="I1048">
        <v>6</v>
      </c>
      <c r="J1048" t="s">
        <v>25</v>
      </c>
      <c r="K1048" s="4">
        <f>Table1[[#This Row],[Sales]]*Table1[[#This Row],[Quantity]]</f>
        <v>44352</v>
      </c>
      <c r="L1048" s="4">
        <f>Table1[[#This Row],[Revenue]]-(Table1[[#This Row],[Revenue]]*Table1[[#This Row],[Discount]]/100)</f>
        <v>41690.879999999997</v>
      </c>
    </row>
    <row r="1049" spans="1:12" x14ac:dyDescent="0.55000000000000004">
      <c r="A1049" t="s">
        <v>1078</v>
      </c>
      <c r="B1049" s="2">
        <v>44944</v>
      </c>
      <c r="C1049" t="s">
        <v>19</v>
      </c>
      <c r="D1049" t="s">
        <v>20</v>
      </c>
      <c r="E1049" t="s">
        <v>17</v>
      </c>
      <c r="F1049" t="s">
        <v>48</v>
      </c>
      <c r="G1049">
        <v>7209</v>
      </c>
      <c r="H1049">
        <v>9</v>
      </c>
      <c r="I1049">
        <v>9</v>
      </c>
      <c r="J1049" t="s">
        <v>22</v>
      </c>
      <c r="K1049" s="4">
        <f>Table1[[#This Row],[Sales]]*Table1[[#This Row],[Quantity]]</f>
        <v>64881</v>
      </c>
      <c r="L1049" s="4">
        <f>Table1[[#This Row],[Revenue]]-(Table1[[#This Row],[Revenue]]*Table1[[#This Row],[Discount]]/100)</f>
        <v>59041.71</v>
      </c>
    </row>
    <row r="1050" spans="1:12" x14ac:dyDescent="0.55000000000000004">
      <c r="A1050" t="s">
        <v>1079</v>
      </c>
      <c r="B1050" s="2">
        <v>44933</v>
      </c>
      <c r="C1050" t="s">
        <v>24</v>
      </c>
      <c r="D1050" t="s">
        <v>37</v>
      </c>
      <c r="E1050" t="s">
        <v>11</v>
      </c>
      <c r="F1050" t="s">
        <v>38</v>
      </c>
      <c r="G1050">
        <v>11845</v>
      </c>
      <c r="H1050">
        <v>2</v>
      </c>
      <c r="I1050">
        <v>12</v>
      </c>
      <c r="J1050" t="s">
        <v>13</v>
      </c>
      <c r="K1050" s="4">
        <f>Table1[[#This Row],[Sales]]*Table1[[#This Row],[Quantity]]</f>
        <v>23690</v>
      </c>
      <c r="L1050" s="4">
        <f>Table1[[#This Row],[Revenue]]-(Table1[[#This Row],[Revenue]]*Table1[[#This Row],[Discount]]/100)</f>
        <v>20847.2</v>
      </c>
    </row>
    <row r="1051" spans="1:12" x14ac:dyDescent="0.55000000000000004">
      <c r="A1051" t="s">
        <v>1080</v>
      </c>
      <c r="B1051" s="2">
        <v>45178</v>
      </c>
      <c r="C1051" t="s">
        <v>31</v>
      </c>
      <c r="D1051" t="s">
        <v>20</v>
      </c>
      <c r="E1051" t="s">
        <v>11</v>
      </c>
      <c r="F1051" t="s">
        <v>29</v>
      </c>
      <c r="G1051">
        <v>30283</v>
      </c>
      <c r="H1051">
        <v>3</v>
      </c>
      <c r="I1051">
        <v>14</v>
      </c>
      <c r="J1051" t="s">
        <v>25</v>
      </c>
      <c r="K1051" s="4">
        <f>Table1[[#This Row],[Sales]]*Table1[[#This Row],[Quantity]]</f>
        <v>90849</v>
      </c>
      <c r="L1051" s="4">
        <f>Table1[[#This Row],[Revenue]]-(Table1[[#This Row],[Revenue]]*Table1[[#This Row],[Discount]]/100)</f>
        <v>78130.14</v>
      </c>
    </row>
    <row r="1052" spans="1:12" x14ac:dyDescent="0.55000000000000004">
      <c r="A1052" t="s">
        <v>1081</v>
      </c>
      <c r="B1052" s="2">
        <v>45254</v>
      </c>
      <c r="C1052" t="s">
        <v>24</v>
      </c>
      <c r="D1052" t="s">
        <v>46</v>
      </c>
      <c r="E1052" t="s">
        <v>17</v>
      </c>
      <c r="F1052" t="s">
        <v>29</v>
      </c>
      <c r="G1052">
        <v>37626</v>
      </c>
      <c r="H1052">
        <v>9</v>
      </c>
      <c r="I1052">
        <v>4</v>
      </c>
      <c r="J1052" t="s">
        <v>22</v>
      </c>
      <c r="K1052" s="4">
        <f>Table1[[#This Row],[Sales]]*Table1[[#This Row],[Quantity]]</f>
        <v>338634</v>
      </c>
      <c r="L1052" s="4">
        <f>Table1[[#This Row],[Revenue]]-(Table1[[#This Row],[Revenue]]*Table1[[#This Row],[Discount]]/100)</f>
        <v>325088.64000000001</v>
      </c>
    </row>
    <row r="1053" spans="1:12" x14ac:dyDescent="0.55000000000000004">
      <c r="A1053" t="s">
        <v>1082</v>
      </c>
      <c r="B1053" s="2">
        <v>45012</v>
      </c>
      <c r="C1053" t="s">
        <v>24</v>
      </c>
      <c r="D1053" t="s">
        <v>27</v>
      </c>
      <c r="E1053" t="s">
        <v>17</v>
      </c>
      <c r="F1053" t="s">
        <v>29</v>
      </c>
      <c r="G1053">
        <v>13093</v>
      </c>
      <c r="H1053">
        <v>9</v>
      </c>
      <c r="I1053">
        <v>0</v>
      </c>
      <c r="J1053" t="s">
        <v>25</v>
      </c>
      <c r="K1053" s="4">
        <f>Table1[[#This Row],[Sales]]*Table1[[#This Row],[Quantity]]</f>
        <v>117837</v>
      </c>
      <c r="L1053" s="4">
        <f>Table1[[#This Row],[Revenue]]-(Table1[[#This Row],[Revenue]]*Table1[[#This Row],[Discount]]/100)</f>
        <v>117837</v>
      </c>
    </row>
    <row r="1054" spans="1:12" x14ac:dyDescent="0.55000000000000004">
      <c r="A1054" t="s">
        <v>1083</v>
      </c>
      <c r="B1054" s="2">
        <v>45159</v>
      </c>
      <c r="C1054" t="s">
        <v>31</v>
      </c>
      <c r="D1054" t="s">
        <v>37</v>
      </c>
      <c r="E1054" t="s">
        <v>17</v>
      </c>
      <c r="F1054" t="s">
        <v>29</v>
      </c>
      <c r="G1054">
        <v>1018</v>
      </c>
      <c r="H1054">
        <v>7</v>
      </c>
      <c r="I1054">
        <v>14</v>
      </c>
      <c r="J1054" t="s">
        <v>25</v>
      </c>
      <c r="K1054" s="4">
        <f>Table1[[#This Row],[Sales]]*Table1[[#This Row],[Quantity]]</f>
        <v>7126</v>
      </c>
      <c r="L1054" s="4">
        <f>Table1[[#This Row],[Revenue]]-(Table1[[#This Row],[Revenue]]*Table1[[#This Row],[Discount]]/100)</f>
        <v>6128.36</v>
      </c>
    </row>
    <row r="1055" spans="1:12" x14ac:dyDescent="0.55000000000000004">
      <c r="A1055" t="s">
        <v>1084</v>
      </c>
      <c r="B1055" s="2">
        <v>45137</v>
      </c>
      <c r="C1055" t="s">
        <v>31</v>
      </c>
      <c r="D1055" t="s">
        <v>27</v>
      </c>
      <c r="E1055" t="s">
        <v>11</v>
      </c>
      <c r="F1055" t="s">
        <v>12</v>
      </c>
      <c r="G1055">
        <v>40233</v>
      </c>
      <c r="H1055">
        <v>2</v>
      </c>
      <c r="I1055">
        <v>6</v>
      </c>
      <c r="J1055" t="s">
        <v>13</v>
      </c>
      <c r="K1055" s="4">
        <f>Table1[[#This Row],[Sales]]*Table1[[#This Row],[Quantity]]</f>
        <v>80466</v>
      </c>
      <c r="L1055" s="4">
        <f>Table1[[#This Row],[Revenue]]-(Table1[[#This Row],[Revenue]]*Table1[[#This Row],[Discount]]/100)</f>
        <v>75638.039999999994</v>
      </c>
    </row>
    <row r="1056" spans="1:12" x14ac:dyDescent="0.55000000000000004">
      <c r="A1056" t="s">
        <v>1085</v>
      </c>
      <c r="B1056" s="2">
        <v>45137</v>
      </c>
      <c r="C1056" t="s">
        <v>31</v>
      </c>
      <c r="D1056" t="s">
        <v>37</v>
      </c>
      <c r="E1056" t="s">
        <v>17</v>
      </c>
      <c r="F1056" t="s">
        <v>34</v>
      </c>
      <c r="G1056">
        <v>20359</v>
      </c>
      <c r="H1056">
        <v>7</v>
      </c>
      <c r="I1056">
        <v>13</v>
      </c>
      <c r="J1056" t="s">
        <v>13</v>
      </c>
      <c r="K1056" s="4">
        <f>Table1[[#This Row],[Sales]]*Table1[[#This Row],[Quantity]]</f>
        <v>142513</v>
      </c>
      <c r="L1056" s="4">
        <f>Table1[[#This Row],[Revenue]]-(Table1[[#This Row],[Revenue]]*Table1[[#This Row],[Discount]]/100)</f>
        <v>123986.31</v>
      </c>
    </row>
    <row r="1057" spans="1:12" x14ac:dyDescent="0.55000000000000004">
      <c r="A1057" t="s">
        <v>1086</v>
      </c>
      <c r="B1057" s="2">
        <v>45032</v>
      </c>
      <c r="C1057" t="s">
        <v>15</v>
      </c>
      <c r="D1057" t="s">
        <v>37</v>
      </c>
      <c r="E1057" t="s">
        <v>17</v>
      </c>
      <c r="F1057" t="s">
        <v>21</v>
      </c>
      <c r="G1057">
        <v>11457</v>
      </c>
      <c r="H1057">
        <v>4</v>
      </c>
      <c r="I1057">
        <v>22</v>
      </c>
      <c r="J1057" t="s">
        <v>25</v>
      </c>
      <c r="K1057" s="4">
        <f>Table1[[#This Row],[Sales]]*Table1[[#This Row],[Quantity]]</f>
        <v>45828</v>
      </c>
      <c r="L1057" s="4">
        <f>Table1[[#This Row],[Revenue]]-(Table1[[#This Row],[Revenue]]*Table1[[#This Row],[Discount]]/100)</f>
        <v>35745.839999999997</v>
      </c>
    </row>
    <row r="1058" spans="1:12" x14ac:dyDescent="0.55000000000000004">
      <c r="A1058" t="s">
        <v>1087</v>
      </c>
      <c r="B1058" s="2">
        <v>44946</v>
      </c>
      <c r="C1058" t="s">
        <v>15</v>
      </c>
      <c r="D1058" t="s">
        <v>46</v>
      </c>
      <c r="E1058" t="s">
        <v>11</v>
      </c>
      <c r="F1058" t="s">
        <v>12</v>
      </c>
      <c r="G1058">
        <v>31465</v>
      </c>
      <c r="H1058">
        <v>8</v>
      </c>
      <c r="I1058">
        <v>15</v>
      </c>
      <c r="J1058" t="s">
        <v>13</v>
      </c>
      <c r="K1058" s="4">
        <f>Table1[[#This Row],[Sales]]*Table1[[#This Row],[Quantity]]</f>
        <v>251720</v>
      </c>
      <c r="L1058" s="4">
        <f>Table1[[#This Row],[Revenue]]-(Table1[[#This Row],[Revenue]]*Table1[[#This Row],[Discount]]/100)</f>
        <v>213962</v>
      </c>
    </row>
    <row r="1059" spans="1:12" x14ac:dyDescent="0.55000000000000004">
      <c r="A1059" t="s">
        <v>1088</v>
      </c>
      <c r="B1059" s="2">
        <v>44943</v>
      </c>
      <c r="C1059" t="s">
        <v>31</v>
      </c>
      <c r="D1059" t="s">
        <v>16</v>
      </c>
      <c r="E1059" t="s">
        <v>17</v>
      </c>
      <c r="F1059" t="s">
        <v>29</v>
      </c>
      <c r="G1059">
        <v>9442</v>
      </c>
      <c r="H1059">
        <v>9</v>
      </c>
      <c r="I1059">
        <v>22</v>
      </c>
      <c r="J1059" t="s">
        <v>13</v>
      </c>
      <c r="K1059" s="4">
        <f>Table1[[#This Row],[Sales]]*Table1[[#This Row],[Quantity]]</f>
        <v>84978</v>
      </c>
      <c r="L1059" s="4">
        <f>Table1[[#This Row],[Revenue]]-(Table1[[#This Row],[Revenue]]*Table1[[#This Row],[Discount]]/100)</f>
        <v>66282.84</v>
      </c>
    </row>
    <row r="1060" spans="1:12" x14ac:dyDescent="0.55000000000000004">
      <c r="A1060" t="s">
        <v>1089</v>
      </c>
      <c r="B1060" s="2">
        <v>45278</v>
      </c>
      <c r="C1060" t="s">
        <v>24</v>
      </c>
      <c r="D1060" t="s">
        <v>46</v>
      </c>
      <c r="E1060" t="s">
        <v>17</v>
      </c>
      <c r="F1060" t="s">
        <v>29</v>
      </c>
      <c r="G1060">
        <v>39778</v>
      </c>
      <c r="H1060">
        <v>4</v>
      </c>
      <c r="I1060">
        <v>28</v>
      </c>
      <c r="J1060" t="s">
        <v>22</v>
      </c>
      <c r="K1060" s="4">
        <f>Table1[[#This Row],[Sales]]*Table1[[#This Row],[Quantity]]</f>
        <v>159112</v>
      </c>
      <c r="L1060" s="4">
        <f>Table1[[#This Row],[Revenue]]-(Table1[[#This Row],[Revenue]]*Table1[[#This Row],[Discount]]/100)</f>
        <v>114560.64</v>
      </c>
    </row>
    <row r="1061" spans="1:12" x14ac:dyDescent="0.55000000000000004">
      <c r="A1061" t="s">
        <v>1090</v>
      </c>
      <c r="B1061" s="2">
        <v>45253</v>
      </c>
      <c r="C1061" t="s">
        <v>19</v>
      </c>
      <c r="D1061" t="s">
        <v>46</v>
      </c>
      <c r="E1061" t="s">
        <v>17</v>
      </c>
      <c r="F1061" t="s">
        <v>48</v>
      </c>
      <c r="G1061">
        <v>26789</v>
      </c>
      <c r="H1061">
        <v>1</v>
      </c>
      <c r="I1061">
        <v>3</v>
      </c>
      <c r="J1061" t="s">
        <v>22</v>
      </c>
      <c r="K1061" s="4">
        <f>Table1[[#This Row],[Sales]]*Table1[[#This Row],[Quantity]]</f>
        <v>26789</v>
      </c>
      <c r="L1061" s="4">
        <f>Table1[[#This Row],[Revenue]]-(Table1[[#This Row],[Revenue]]*Table1[[#This Row],[Discount]]/100)</f>
        <v>25985.33</v>
      </c>
    </row>
    <row r="1062" spans="1:12" x14ac:dyDescent="0.55000000000000004">
      <c r="A1062" t="s">
        <v>1091</v>
      </c>
      <c r="B1062" s="2">
        <v>45222</v>
      </c>
      <c r="C1062" t="s">
        <v>19</v>
      </c>
      <c r="D1062" t="s">
        <v>46</v>
      </c>
      <c r="E1062" t="s">
        <v>11</v>
      </c>
      <c r="F1062" t="s">
        <v>34</v>
      </c>
      <c r="G1062">
        <v>30415</v>
      </c>
      <c r="H1062">
        <v>5</v>
      </c>
      <c r="I1062">
        <v>18</v>
      </c>
      <c r="J1062" t="s">
        <v>13</v>
      </c>
      <c r="K1062" s="4">
        <f>Table1[[#This Row],[Sales]]*Table1[[#This Row],[Quantity]]</f>
        <v>152075</v>
      </c>
      <c r="L1062" s="4">
        <f>Table1[[#This Row],[Revenue]]-(Table1[[#This Row],[Revenue]]*Table1[[#This Row],[Discount]]/100)</f>
        <v>124701.5</v>
      </c>
    </row>
    <row r="1063" spans="1:12" x14ac:dyDescent="0.55000000000000004">
      <c r="A1063" t="s">
        <v>1092</v>
      </c>
      <c r="B1063" s="2">
        <v>45170</v>
      </c>
      <c r="C1063" t="s">
        <v>31</v>
      </c>
      <c r="D1063" t="s">
        <v>16</v>
      </c>
      <c r="E1063" t="s">
        <v>11</v>
      </c>
      <c r="F1063" t="s">
        <v>38</v>
      </c>
      <c r="G1063">
        <v>27842</v>
      </c>
      <c r="H1063">
        <v>2</v>
      </c>
      <c r="I1063">
        <v>1</v>
      </c>
      <c r="J1063" t="s">
        <v>22</v>
      </c>
      <c r="K1063" s="4">
        <f>Table1[[#This Row],[Sales]]*Table1[[#This Row],[Quantity]]</f>
        <v>55684</v>
      </c>
      <c r="L1063" s="4">
        <f>Table1[[#This Row],[Revenue]]-(Table1[[#This Row],[Revenue]]*Table1[[#This Row],[Discount]]/100)</f>
        <v>55127.16</v>
      </c>
    </row>
    <row r="1064" spans="1:12" x14ac:dyDescent="0.55000000000000004">
      <c r="A1064" t="s">
        <v>1093</v>
      </c>
      <c r="B1064" s="2">
        <v>45139</v>
      </c>
      <c r="C1064" t="s">
        <v>24</v>
      </c>
      <c r="D1064" t="s">
        <v>20</v>
      </c>
      <c r="E1064" t="s">
        <v>11</v>
      </c>
      <c r="F1064" t="s">
        <v>29</v>
      </c>
      <c r="G1064">
        <v>27648</v>
      </c>
      <c r="H1064">
        <v>10</v>
      </c>
      <c r="I1064">
        <v>7</v>
      </c>
      <c r="J1064" t="s">
        <v>13</v>
      </c>
      <c r="K1064" s="4">
        <f>Table1[[#This Row],[Sales]]*Table1[[#This Row],[Quantity]]</f>
        <v>276480</v>
      </c>
      <c r="L1064" s="4">
        <f>Table1[[#This Row],[Revenue]]-(Table1[[#This Row],[Revenue]]*Table1[[#This Row],[Discount]]/100)</f>
        <v>257126.39999999999</v>
      </c>
    </row>
    <row r="1065" spans="1:12" x14ac:dyDescent="0.55000000000000004">
      <c r="A1065" t="s">
        <v>1094</v>
      </c>
      <c r="B1065" s="2">
        <v>45027</v>
      </c>
      <c r="C1065" t="s">
        <v>31</v>
      </c>
      <c r="D1065" t="s">
        <v>20</v>
      </c>
      <c r="E1065" t="s">
        <v>17</v>
      </c>
      <c r="F1065" t="s">
        <v>48</v>
      </c>
      <c r="G1065">
        <v>41794</v>
      </c>
      <c r="H1065">
        <v>3</v>
      </c>
      <c r="I1065">
        <v>29</v>
      </c>
      <c r="J1065" t="s">
        <v>22</v>
      </c>
      <c r="K1065" s="4">
        <f>Table1[[#This Row],[Sales]]*Table1[[#This Row],[Quantity]]</f>
        <v>125382</v>
      </c>
      <c r="L1065" s="4">
        <f>Table1[[#This Row],[Revenue]]-(Table1[[#This Row],[Revenue]]*Table1[[#This Row],[Discount]]/100)</f>
        <v>89021.22</v>
      </c>
    </row>
    <row r="1066" spans="1:12" x14ac:dyDescent="0.55000000000000004">
      <c r="A1066" t="s">
        <v>1095</v>
      </c>
      <c r="B1066" s="2">
        <v>45217</v>
      </c>
      <c r="C1066" t="s">
        <v>15</v>
      </c>
      <c r="D1066" t="s">
        <v>27</v>
      </c>
      <c r="E1066" t="s">
        <v>11</v>
      </c>
      <c r="F1066" t="s">
        <v>34</v>
      </c>
      <c r="G1066">
        <v>13605</v>
      </c>
      <c r="H1066">
        <v>9</v>
      </c>
      <c r="I1066">
        <v>28</v>
      </c>
      <c r="J1066" t="s">
        <v>22</v>
      </c>
      <c r="K1066" s="4">
        <f>Table1[[#This Row],[Sales]]*Table1[[#This Row],[Quantity]]</f>
        <v>122445</v>
      </c>
      <c r="L1066" s="4">
        <f>Table1[[#This Row],[Revenue]]-(Table1[[#This Row],[Revenue]]*Table1[[#This Row],[Discount]]/100)</f>
        <v>88160.4</v>
      </c>
    </row>
    <row r="1067" spans="1:12" x14ac:dyDescent="0.55000000000000004">
      <c r="A1067" t="s">
        <v>1096</v>
      </c>
      <c r="B1067" s="2">
        <v>45182</v>
      </c>
      <c r="C1067" t="s">
        <v>15</v>
      </c>
      <c r="D1067" t="s">
        <v>46</v>
      </c>
      <c r="E1067" t="s">
        <v>11</v>
      </c>
      <c r="F1067" t="s">
        <v>34</v>
      </c>
      <c r="G1067">
        <v>33283</v>
      </c>
      <c r="H1067">
        <v>8</v>
      </c>
      <c r="I1067">
        <v>18</v>
      </c>
      <c r="J1067" t="s">
        <v>22</v>
      </c>
      <c r="K1067" s="4">
        <f>Table1[[#This Row],[Sales]]*Table1[[#This Row],[Quantity]]</f>
        <v>266264</v>
      </c>
      <c r="L1067" s="4">
        <f>Table1[[#This Row],[Revenue]]-(Table1[[#This Row],[Revenue]]*Table1[[#This Row],[Discount]]/100)</f>
        <v>218336.48</v>
      </c>
    </row>
    <row r="1068" spans="1:12" x14ac:dyDescent="0.55000000000000004">
      <c r="A1068" t="s">
        <v>1097</v>
      </c>
      <c r="B1068" s="2">
        <v>45109</v>
      </c>
      <c r="C1068" t="s">
        <v>31</v>
      </c>
      <c r="D1068" t="s">
        <v>37</v>
      </c>
      <c r="E1068" t="s">
        <v>17</v>
      </c>
      <c r="F1068" t="s">
        <v>48</v>
      </c>
      <c r="G1068">
        <v>47929</v>
      </c>
      <c r="H1068">
        <v>4</v>
      </c>
      <c r="I1068">
        <v>1</v>
      </c>
      <c r="J1068" t="s">
        <v>22</v>
      </c>
      <c r="K1068" s="4">
        <f>Table1[[#This Row],[Sales]]*Table1[[#This Row],[Quantity]]</f>
        <v>191716</v>
      </c>
      <c r="L1068" s="4">
        <f>Table1[[#This Row],[Revenue]]-(Table1[[#This Row],[Revenue]]*Table1[[#This Row],[Discount]]/100)</f>
        <v>189798.84</v>
      </c>
    </row>
    <row r="1069" spans="1:12" x14ac:dyDescent="0.55000000000000004">
      <c r="A1069" t="s">
        <v>1098</v>
      </c>
      <c r="B1069" s="2">
        <v>45025</v>
      </c>
      <c r="C1069" t="s">
        <v>24</v>
      </c>
      <c r="D1069" t="s">
        <v>20</v>
      </c>
      <c r="E1069" t="s">
        <v>17</v>
      </c>
      <c r="F1069" t="s">
        <v>29</v>
      </c>
      <c r="G1069">
        <v>35767</v>
      </c>
      <c r="H1069">
        <v>7</v>
      </c>
      <c r="I1069">
        <v>18</v>
      </c>
      <c r="J1069" t="s">
        <v>13</v>
      </c>
      <c r="K1069" s="4">
        <f>Table1[[#This Row],[Sales]]*Table1[[#This Row],[Quantity]]</f>
        <v>250369</v>
      </c>
      <c r="L1069" s="4">
        <f>Table1[[#This Row],[Revenue]]-(Table1[[#This Row],[Revenue]]*Table1[[#This Row],[Discount]]/100)</f>
        <v>205302.58000000002</v>
      </c>
    </row>
    <row r="1070" spans="1:12" x14ac:dyDescent="0.55000000000000004">
      <c r="A1070" t="s">
        <v>1099</v>
      </c>
      <c r="B1070" s="2">
        <v>45180</v>
      </c>
      <c r="C1070" t="s">
        <v>19</v>
      </c>
      <c r="D1070" t="s">
        <v>20</v>
      </c>
      <c r="E1070" t="s">
        <v>11</v>
      </c>
      <c r="F1070" t="s">
        <v>21</v>
      </c>
      <c r="G1070">
        <v>20390</v>
      </c>
      <c r="H1070">
        <v>4</v>
      </c>
      <c r="I1070">
        <v>23</v>
      </c>
      <c r="J1070" t="s">
        <v>22</v>
      </c>
      <c r="K1070" s="4">
        <f>Table1[[#This Row],[Sales]]*Table1[[#This Row],[Quantity]]</f>
        <v>81560</v>
      </c>
      <c r="L1070" s="4">
        <f>Table1[[#This Row],[Revenue]]-(Table1[[#This Row],[Revenue]]*Table1[[#This Row],[Discount]]/100)</f>
        <v>62801.2</v>
      </c>
    </row>
    <row r="1071" spans="1:12" x14ac:dyDescent="0.55000000000000004">
      <c r="A1071" t="s">
        <v>1100</v>
      </c>
      <c r="B1071" s="2">
        <v>45024</v>
      </c>
      <c r="C1071" t="s">
        <v>15</v>
      </c>
      <c r="D1071" t="s">
        <v>20</v>
      </c>
      <c r="E1071" t="s">
        <v>11</v>
      </c>
      <c r="F1071" t="s">
        <v>48</v>
      </c>
      <c r="G1071">
        <v>44004</v>
      </c>
      <c r="H1071">
        <v>5</v>
      </c>
      <c r="I1071">
        <v>16</v>
      </c>
      <c r="J1071" t="s">
        <v>25</v>
      </c>
      <c r="K1071" s="4">
        <f>Table1[[#This Row],[Sales]]*Table1[[#This Row],[Quantity]]</f>
        <v>220020</v>
      </c>
      <c r="L1071" s="4">
        <f>Table1[[#This Row],[Revenue]]-(Table1[[#This Row],[Revenue]]*Table1[[#This Row],[Discount]]/100)</f>
        <v>184816.8</v>
      </c>
    </row>
    <row r="1072" spans="1:12" x14ac:dyDescent="0.55000000000000004">
      <c r="A1072" t="s">
        <v>1101</v>
      </c>
      <c r="B1072" s="2">
        <v>45020</v>
      </c>
      <c r="C1072" t="s">
        <v>15</v>
      </c>
      <c r="D1072" t="s">
        <v>46</v>
      </c>
      <c r="E1072" t="s">
        <v>11</v>
      </c>
      <c r="F1072" t="s">
        <v>44</v>
      </c>
      <c r="G1072">
        <v>22064</v>
      </c>
      <c r="H1072">
        <v>4</v>
      </c>
      <c r="I1072">
        <v>5</v>
      </c>
      <c r="J1072" t="s">
        <v>25</v>
      </c>
      <c r="K1072" s="4">
        <f>Table1[[#This Row],[Sales]]*Table1[[#This Row],[Quantity]]</f>
        <v>88256</v>
      </c>
      <c r="L1072" s="4">
        <f>Table1[[#This Row],[Revenue]]-(Table1[[#This Row],[Revenue]]*Table1[[#This Row],[Discount]]/100)</f>
        <v>83843.199999999997</v>
      </c>
    </row>
    <row r="1073" spans="1:12" x14ac:dyDescent="0.55000000000000004">
      <c r="A1073" t="s">
        <v>1102</v>
      </c>
      <c r="B1073" s="2">
        <v>44932</v>
      </c>
      <c r="C1073" t="s">
        <v>19</v>
      </c>
      <c r="D1073" t="s">
        <v>27</v>
      </c>
      <c r="E1073" t="s">
        <v>17</v>
      </c>
      <c r="F1073" t="s">
        <v>29</v>
      </c>
      <c r="G1073">
        <v>40704</v>
      </c>
      <c r="H1073">
        <v>10</v>
      </c>
      <c r="I1073">
        <v>3</v>
      </c>
      <c r="J1073" t="s">
        <v>22</v>
      </c>
      <c r="K1073" s="4">
        <f>Table1[[#This Row],[Sales]]*Table1[[#This Row],[Quantity]]</f>
        <v>407040</v>
      </c>
      <c r="L1073" s="4">
        <f>Table1[[#This Row],[Revenue]]-(Table1[[#This Row],[Revenue]]*Table1[[#This Row],[Discount]]/100)</f>
        <v>394828.79999999999</v>
      </c>
    </row>
    <row r="1074" spans="1:12" x14ac:dyDescent="0.55000000000000004">
      <c r="A1074" t="s">
        <v>1103</v>
      </c>
      <c r="B1074" s="2">
        <v>45097</v>
      </c>
      <c r="C1074" t="s">
        <v>24</v>
      </c>
      <c r="D1074" t="s">
        <v>16</v>
      </c>
      <c r="E1074" t="s">
        <v>11</v>
      </c>
      <c r="F1074" t="s">
        <v>29</v>
      </c>
      <c r="G1074">
        <v>40480</v>
      </c>
      <c r="H1074">
        <v>7</v>
      </c>
      <c r="I1074">
        <v>4</v>
      </c>
      <c r="J1074" t="s">
        <v>25</v>
      </c>
      <c r="K1074" s="4">
        <f>Table1[[#This Row],[Sales]]*Table1[[#This Row],[Quantity]]</f>
        <v>283360</v>
      </c>
      <c r="L1074" s="4">
        <f>Table1[[#This Row],[Revenue]]-(Table1[[#This Row],[Revenue]]*Table1[[#This Row],[Discount]]/100)</f>
        <v>272025.59999999998</v>
      </c>
    </row>
    <row r="1075" spans="1:12" x14ac:dyDescent="0.55000000000000004">
      <c r="A1075" t="s">
        <v>1104</v>
      </c>
      <c r="B1075" s="2">
        <v>45123</v>
      </c>
      <c r="C1075" t="s">
        <v>19</v>
      </c>
      <c r="D1075" t="s">
        <v>20</v>
      </c>
      <c r="E1075" t="s">
        <v>11</v>
      </c>
      <c r="F1075" t="s">
        <v>34</v>
      </c>
      <c r="G1075">
        <v>15405</v>
      </c>
      <c r="H1075">
        <v>5</v>
      </c>
      <c r="I1075">
        <v>17</v>
      </c>
      <c r="J1075" t="s">
        <v>13</v>
      </c>
      <c r="K1075" s="4">
        <f>Table1[[#This Row],[Sales]]*Table1[[#This Row],[Quantity]]</f>
        <v>77025</v>
      </c>
      <c r="L1075" s="4">
        <f>Table1[[#This Row],[Revenue]]-(Table1[[#This Row],[Revenue]]*Table1[[#This Row],[Discount]]/100)</f>
        <v>63930.75</v>
      </c>
    </row>
    <row r="1076" spans="1:12" x14ac:dyDescent="0.55000000000000004">
      <c r="A1076" t="s">
        <v>1105</v>
      </c>
      <c r="B1076" s="2">
        <v>45017</v>
      </c>
      <c r="C1076" t="s">
        <v>19</v>
      </c>
      <c r="D1076" t="s">
        <v>20</v>
      </c>
      <c r="E1076" t="s">
        <v>11</v>
      </c>
      <c r="F1076" t="s">
        <v>12</v>
      </c>
      <c r="G1076">
        <v>39261</v>
      </c>
      <c r="H1076">
        <v>10</v>
      </c>
      <c r="I1076">
        <v>23</v>
      </c>
      <c r="J1076" t="s">
        <v>22</v>
      </c>
      <c r="K1076" s="4">
        <f>Table1[[#This Row],[Sales]]*Table1[[#This Row],[Quantity]]</f>
        <v>392610</v>
      </c>
      <c r="L1076" s="4">
        <f>Table1[[#This Row],[Revenue]]-(Table1[[#This Row],[Revenue]]*Table1[[#This Row],[Discount]]/100)</f>
        <v>302309.7</v>
      </c>
    </row>
    <row r="1077" spans="1:12" x14ac:dyDescent="0.55000000000000004">
      <c r="A1077" t="s">
        <v>1106</v>
      </c>
      <c r="B1077" s="2">
        <v>45217</v>
      </c>
      <c r="C1077" t="s">
        <v>24</v>
      </c>
      <c r="D1077" t="s">
        <v>27</v>
      </c>
      <c r="E1077" t="s">
        <v>11</v>
      </c>
      <c r="F1077" t="s">
        <v>29</v>
      </c>
      <c r="G1077">
        <v>29546</v>
      </c>
      <c r="H1077">
        <v>10</v>
      </c>
      <c r="I1077">
        <v>10</v>
      </c>
      <c r="J1077" t="s">
        <v>13</v>
      </c>
      <c r="K1077" s="4">
        <f>Table1[[#This Row],[Sales]]*Table1[[#This Row],[Quantity]]</f>
        <v>295460</v>
      </c>
      <c r="L1077" s="4">
        <f>Table1[[#This Row],[Revenue]]-(Table1[[#This Row],[Revenue]]*Table1[[#This Row],[Discount]]/100)</f>
        <v>265914</v>
      </c>
    </row>
    <row r="1078" spans="1:12" x14ac:dyDescent="0.55000000000000004">
      <c r="A1078" t="s">
        <v>1107</v>
      </c>
      <c r="B1078" s="2">
        <v>45245</v>
      </c>
      <c r="C1078" t="s">
        <v>24</v>
      </c>
      <c r="D1078" t="s">
        <v>46</v>
      </c>
      <c r="E1078" t="s">
        <v>17</v>
      </c>
      <c r="F1078" t="s">
        <v>38</v>
      </c>
      <c r="G1078">
        <v>1955</v>
      </c>
      <c r="H1078">
        <v>9</v>
      </c>
      <c r="I1078">
        <v>17</v>
      </c>
      <c r="J1078" t="s">
        <v>25</v>
      </c>
      <c r="K1078" s="4">
        <f>Table1[[#This Row],[Sales]]*Table1[[#This Row],[Quantity]]</f>
        <v>17595</v>
      </c>
      <c r="L1078" s="4">
        <f>Table1[[#This Row],[Revenue]]-(Table1[[#This Row],[Revenue]]*Table1[[#This Row],[Discount]]/100)</f>
        <v>14603.85</v>
      </c>
    </row>
    <row r="1079" spans="1:12" x14ac:dyDescent="0.55000000000000004">
      <c r="A1079" t="s">
        <v>1108</v>
      </c>
      <c r="B1079" s="2">
        <v>44947</v>
      </c>
      <c r="C1079" t="s">
        <v>31</v>
      </c>
      <c r="D1079" t="s">
        <v>20</v>
      </c>
      <c r="E1079" t="s">
        <v>11</v>
      </c>
      <c r="F1079" t="s">
        <v>21</v>
      </c>
      <c r="G1079">
        <v>17458</v>
      </c>
      <c r="H1079">
        <v>8</v>
      </c>
      <c r="I1079">
        <v>24</v>
      </c>
      <c r="J1079" t="s">
        <v>22</v>
      </c>
      <c r="K1079" s="4">
        <f>Table1[[#This Row],[Sales]]*Table1[[#This Row],[Quantity]]</f>
        <v>139664</v>
      </c>
      <c r="L1079" s="4">
        <f>Table1[[#This Row],[Revenue]]-(Table1[[#This Row],[Revenue]]*Table1[[#This Row],[Discount]]/100)</f>
        <v>106144.64</v>
      </c>
    </row>
    <row r="1080" spans="1:12" x14ac:dyDescent="0.55000000000000004">
      <c r="A1080" t="s">
        <v>1109</v>
      </c>
      <c r="B1080" s="2">
        <v>45186</v>
      </c>
      <c r="C1080" t="s">
        <v>15</v>
      </c>
      <c r="D1080" t="s">
        <v>20</v>
      </c>
      <c r="E1080" t="s">
        <v>17</v>
      </c>
      <c r="F1080" t="s">
        <v>44</v>
      </c>
      <c r="G1080">
        <v>34409</v>
      </c>
      <c r="H1080">
        <v>6</v>
      </c>
      <c r="I1080">
        <v>3</v>
      </c>
      <c r="J1080" t="s">
        <v>22</v>
      </c>
      <c r="K1080" s="4">
        <f>Table1[[#This Row],[Sales]]*Table1[[#This Row],[Quantity]]</f>
        <v>206454</v>
      </c>
      <c r="L1080" s="4">
        <f>Table1[[#This Row],[Revenue]]-(Table1[[#This Row],[Revenue]]*Table1[[#This Row],[Discount]]/100)</f>
        <v>200260.38</v>
      </c>
    </row>
    <row r="1081" spans="1:12" x14ac:dyDescent="0.55000000000000004">
      <c r="A1081" t="s">
        <v>1110</v>
      </c>
      <c r="B1081" s="2">
        <v>45086</v>
      </c>
      <c r="C1081" t="s">
        <v>19</v>
      </c>
      <c r="D1081" t="s">
        <v>37</v>
      </c>
      <c r="E1081" t="s">
        <v>17</v>
      </c>
      <c r="F1081" t="s">
        <v>34</v>
      </c>
      <c r="G1081">
        <v>18208</v>
      </c>
      <c r="H1081">
        <v>5</v>
      </c>
      <c r="I1081">
        <v>4</v>
      </c>
      <c r="J1081" t="s">
        <v>22</v>
      </c>
      <c r="K1081" s="4">
        <f>Table1[[#This Row],[Sales]]*Table1[[#This Row],[Quantity]]</f>
        <v>91040</v>
      </c>
      <c r="L1081" s="4">
        <f>Table1[[#This Row],[Revenue]]-(Table1[[#This Row],[Revenue]]*Table1[[#This Row],[Discount]]/100)</f>
        <v>87398.399999999994</v>
      </c>
    </row>
    <row r="1082" spans="1:12" x14ac:dyDescent="0.55000000000000004">
      <c r="A1082" t="s">
        <v>1111</v>
      </c>
      <c r="B1082" s="2">
        <v>45126</v>
      </c>
      <c r="C1082" t="s">
        <v>24</v>
      </c>
      <c r="D1082" t="s">
        <v>16</v>
      </c>
      <c r="E1082" t="s">
        <v>17</v>
      </c>
      <c r="F1082" t="s">
        <v>34</v>
      </c>
      <c r="G1082">
        <v>4361</v>
      </c>
      <c r="H1082">
        <v>9</v>
      </c>
      <c r="I1082">
        <v>21</v>
      </c>
      <c r="J1082" t="s">
        <v>22</v>
      </c>
      <c r="K1082" s="4">
        <f>Table1[[#This Row],[Sales]]*Table1[[#This Row],[Quantity]]</f>
        <v>39249</v>
      </c>
      <c r="L1082" s="4">
        <f>Table1[[#This Row],[Revenue]]-(Table1[[#This Row],[Revenue]]*Table1[[#This Row],[Discount]]/100)</f>
        <v>31006.71</v>
      </c>
    </row>
    <row r="1083" spans="1:12" x14ac:dyDescent="0.55000000000000004">
      <c r="A1083" t="s">
        <v>1112</v>
      </c>
      <c r="B1083" s="2">
        <v>45045</v>
      </c>
      <c r="C1083" t="s">
        <v>15</v>
      </c>
      <c r="D1083" t="s">
        <v>20</v>
      </c>
      <c r="E1083" t="s">
        <v>17</v>
      </c>
      <c r="F1083" t="s">
        <v>21</v>
      </c>
      <c r="G1083">
        <v>45620</v>
      </c>
      <c r="H1083">
        <v>9</v>
      </c>
      <c r="I1083">
        <v>25</v>
      </c>
      <c r="J1083" t="s">
        <v>22</v>
      </c>
      <c r="K1083" s="4">
        <f>Table1[[#This Row],[Sales]]*Table1[[#This Row],[Quantity]]</f>
        <v>410580</v>
      </c>
      <c r="L1083" s="4">
        <f>Table1[[#This Row],[Revenue]]-(Table1[[#This Row],[Revenue]]*Table1[[#This Row],[Discount]]/100)</f>
        <v>307935</v>
      </c>
    </row>
    <row r="1084" spans="1:12" x14ac:dyDescent="0.55000000000000004">
      <c r="A1084" t="s">
        <v>1113</v>
      </c>
      <c r="B1084" s="2">
        <v>45206</v>
      </c>
      <c r="C1084" t="s">
        <v>24</v>
      </c>
      <c r="D1084" t="s">
        <v>16</v>
      </c>
      <c r="E1084" t="s">
        <v>17</v>
      </c>
      <c r="F1084" t="s">
        <v>38</v>
      </c>
      <c r="G1084">
        <v>39783</v>
      </c>
      <c r="H1084">
        <v>4</v>
      </c>
      <c r="I1084">
        <v>21</v>
      </c>
      <c r="J1084" t="s">
        <v>13</v>
      </c>
      <c r="K1084" s="4">
        <f>Table1[[#This Row],[Sales]]*Table1[[#This Row],[Quantity]]</f>
        <v>159132</v>
      </c>
      <c r="L1084" s="4">
        <f>Table1[[#This Row],[Revenue]]-(Table1[[#This Row],[Revenue]]*Table1[[#This Row],[Discount]]/100)</f>
        <v>125714.28</v>
      </c>
    </row>
    <row r="1085" spans="1:12" x14ac:dyDescent="0.55000000000000004">
      <c r="A1085" t="s">
        <v>1114</v>
      </c>
      <c r="B1085" s="2">
        <v>45263</v>
      </c>
      <c r="C1085" t="s">
        <v>31</v>
      </c>
      <c r="D1085" t="s">
        <v>46</v>
      </c>
      <c r="E1085" t="s">
        <v>11</v>
      </c>
      <c r="F1085" t="s">
        <v>44</v>
      </c>
      <c r="G1085">
        <v>48936</v>
      </c>
      <c r="H1085">
        <v>3</v>
      </c>
      <c r="I1085">
        <v>11</v>
      </c>
      <c r="J1085" t="s">
        <v>25</v>
      </c>
      <c r="K1085" s="4">
        <f>Table1[[#This Row],[Sales]]*Table1[[#This Row],[Quantity]]</f>
        <v>146808</v>
      </c>
      <c r="L1085" s="4">
        <f>Table1[[#This Row],[Revenue]]-(Table1[[#This Row],[Revenue]]*Table1[[#This Row],[Discount]]/100)</f>
        <v>130659.12</v>
      </c>
    </row>
    <row r="1086" spans="1:12" x14ac:dyDescent="0.55000000000000004">
      <c r="A1086" t="s">
        <v>1115</v>
      </c>
      <c r="B1086" s="2">
        <v>45145</v>
      </c>
      <c r="C1086" t="s">
        <v>24</v>
      </c>
      <c r="D1086" t="s">
        <v>27</v>
      </c>
      <c r="E1086" t="s">
        <v>17</v>
      </c>
      <c r="F1086" t="s">
        <v>29</v>
      </c>
      <c r="G1086">
        <v>40298</v>
      </c>
      <c r="H1086">
        <v>9</v>
      </c>
      <c r="I1086">
        <v>30</v>
      </c>
      <c r="J1086" t="s">
        <v>25</v>
      </c>
      <c r="K1086" s="4">
        <f>Table1[[#This Row],[Sales]]*Table1[[#This Row],[Quantity]]</f>
        <v>362682</v>
      </c>
      <c r="L1086" s="4">
        <f>Table1[[#This Row],[Revenue]]-(Table1[[#This Row],[Revenue]]*Table1[[#This Row],[Discount]]/100)</f>
        <v>253877.4</v>
      </c>
    </row>
    <row r="1087" spans="1:12" x14ac:dyDescent="0.55000000000000004">
      <c r="A1087" t="s">
        <v>1116</v>
      </c>
      <c r="B1087" s="2">
        <v>45173</v>
      </c>
      <c r="C1087" t="s">
        <v>31</v>
      </c>
      <c r="D1087" t="s">
        <v>20</v>
      </c>
      <c r="E1087" t="s">
        <v>11</v>
      </c>
      <c r="F1087" t="s">
        <v>38</v>
      </c>
      <c r="G1087">
        <v>45328</v>
      </c>
      <c r="H1087">
        <v>4</v>
      </c>
      <c r="I1087">
        <v>19</v>
      </c>
      <c r="J1087" t="s">
        <v>13</v>
      </c>
      <c r="K1087" s="4">
        <f>Table1[[#This Row],[Sales]]*Table1[[#This Row],[Quantity]]</f>
        <v>181312</v>
      </c>
      <c r="L1087" s="4">
        <f>Table1[[#This Row],[Revenue]]-(Table1[[#This Row],[Revenue]]*Table1[[#This Row],[Discount]]/100)</f>
        <v>146862.72</v>
      </c>
    </row>
    <row r="1088" spans="1:12" x14ac:dyDescent="0.55000000000000004">
      <c r="A1088" t="s">
        <v>1117</v>
      </c>
      <c r="B1088" s="2">
        <v>45157</v>
      </c>
      <c r="C1088" t="s">
        <v>24</v>
      </c>
      <c r="D1088" t="s">
        <v>27</v>
      </c>
      <c r="E1088" t="s">
        <v>11</v>
      </c>
      <c r="F1088" t="s">
        <v>21</v>
      </c>
      <c r="G1088">
        <v>21081</v>
      </c>
      <c r="H1088">
        <v>5</v>
      </c>
      <c r="I1088">
        <v>17</v>
      </c>
      <c r="J1088" t="s">
        <v>13</v>
      </c>
      <c r="K1088" s="4">
        <f>Table1[[#This Row],[Sales]]*Table1[[#This Row],[Quantity]]</f>
        <v>105405</v>
      </c>
      <c r="L1088" s="4">
        <f>Table1[[#This Row],[Revenue]]-(Table1[[#This Row],[Revenue]]*Table1[[#This Row],[Discount]]/100)</f>
        <v>87486.15</v>
      </c>
    </row>
    <row r="1089" spans="1:12" x14ac:dyDescent="0.55000000000000004">
      <c r="A1089" t="s">
        <v>1118</v>
      </c>
      <c r="B1089" s="2">
        <v>45190</v>
      </c>
      <c r="C1089" t="s">
        <v>15</v>
      </c>
      <c r="D1089" t="s">
        <v>46</v>
      </c>
      <c r="E1089" t="s">
        <v>17</v>
      </c>
      <c r="F1089" t="s">
        <v>12</v>
      </c>
      <c r="G1089">
        <v>38378</v>
      </c>
      <c r="H1089">
        <v>8</v>
      </c>
      <c r="I1089">
        <v>13</v>
      </c>
      <c r="J1089" t="s">
        <v>25</v>
      </c>
      <c r="K1089" s="4">
        <f>Table1[[#This Row],[Sales]]*Table1[[#This Row],[Quantity]]</f>
        <v>307024</v>
      </c>
      <c r="L1089" s="4">
        <f>Table1[[#This Row],[Revenue]]-(Table1[[#This Row],[Revenue]]*Table1[[#This Row],[Discount]]/100)</f>
        <v>267110.88</v>
      </c>
    </row>
    <row r="1090" spans="1:12" x14ac:dyDescent="0.55000000000000004">
      <c r="A1090" t="s">
        <v>1119</v>
      </c>
      <c r="B1090" s="2">
        <v>45267</v>
      </c>
      <c r="C1090" t="s">
        <v>31</v>
      </c>
      <c r="D1090" t="s">
        <v>20</v>
      </c>
      <c r="E1090" t="s">
        <v>17</v>
      </c>
      <c r="F1090" t="s">
        <v>12</v>
      </c>
      <c r="G1090">
        <v>29311</v>
      </c>
      <c r="H1090">
        <v>1</v>
      </c>
      <c r="I1090">
        <v>10</v>
      </c>
      <c r="J1090" t="s">
        <v>25</v>
      </c>
      <c r="K1090" s="4">
        <f>Table1[[#This Row],[Sales]]*Table1[[#This Row],[Quantity]]</f>
        <v>29311</v>
      </c>
      <c r="L1090" s="4">
        <f>Table1[[#This Row],[Revenue]]-(Table1[[#This Row],[Revenue]]*Table1[[#This Row],[Discount]]/100)</f>
        <v>26379.9</v>
      </c>
    </row>
    <row r="1091" spans="1:12" x14ac:dyDescent="0.55000000000000004">
      <c r="A1091" t="s">
        <v>1120</v>
      </c>
      <c r="B1091" s="2">
        <v>44988</v>
      </c>
      <c r="C1091" t="s">
        <v>31</v>
      </c>
      <c r="D1091" t="s">
        <v>27</v>
      </c>
      <c r="E1091" t="s">
        <v>11</v>
      </c>
      <c r="F1091" t="s">
        <v>44</v>
      </c>
      <c r="G1091">
        <v>30404</v>
      </c>
      <c r="H1091">
        <v>9</v>
      </c>
      <c r="I1091">
        <v>8</v>
      </c>
      <c r="J1091" t="s">
        <v>22</v>
      </c>
      <c r="K1091" s="4">
        <f>Table1[[#This Row],[Sales]]*Table1[[#This Row],[Quantity]]</f>
        <v>273636</v>
      </c>
      <c r="L1091" s="4">
        <f>Table1[[#This Row],[Revenue]]-(Table1[[#This Row],[Revenue]]*Table1[[#This Row],[Discount]]/100)</f>
        <v>251745.12</v>
      </c>
    </row>
    <row r="1092" spans="1:12" x14ac:dyDescent="0.55000000000000004">
      <c r="A1092" t="s">
        <v>1121</v>
      </c>
      <c r="B1092" s="2">
        <v>44943</v>
      </c>
      <c r="C1092" t="s">
        <v>31</v>
      </c>
      <c r="D1092" t="s">
        <v>27</v>
      </c>
      <c r="E1092" t="s">
        <v>17</v>
      </c>
      <c r="F1092" t="s">
        <v>21</v>
      </c>
      <c r="G1092">
        <v>46387</v>
      </c>
      <c r="H1092">
        <v>10</v>
      </c>
      <c r="I1092">
        <v>21</v>
      </c>
      <c r="J1092" t="s">
        <v>25</v>
      </c>
      <c r="K1092" s="4">
        <f>Table1[[#This Row],[Sales]]*Table1[[#This Row],[Quantity]]</f>
        <v>463870</v>
      </c>
      <c r="L1092" s="4">
        <f>Table1[[#This Row],[Revenue]]-(Table1[[#This Row],[Revenue]]*Table1[[#This Row],[Discount]]/100)</f>
        <v>366457.3</v>
      </c>
    </row>
    <row r="1093" spans="1:12" x14ac:dyDescent="0.55000000000000004">
      <c r="A1093" t="s">
        <v>1122</v>
      </c>
      <c r="B1093" s="2">
        <v>45141</v>
      </c>
      <c r="C1093" t="s">
        <v>15</v>
      </c>
      <c r="D1093" t="s">
        <v>27</v>
      </c>
      <c r="E1093" t="s">
        <v>11</v>
      </c>
      <c r="F1093" t="s">
        <v>48</v>
      </c>
      <c r="G1093">
        <v>26940</v>
      </c>
      <c r="H1093">
        <v>5</v>
      </c>
      <c r="I1093">
        <v>30</v>
      </c>
      <c r="J1093" t="s">
        <v>22</v>
      </c>
      <c r="K1093" s="4">
        <f>Table1[[#This Row],[Sales]]*Table1[[#This Row],[Quantity]]</f>
        <v>134700</v>
      </c>
      <c r="L1093" s="4">
        <f>Table1[[#This Row],[Revenue]]-(Table1[[#This Row],[Revenue]]*Table1[[#This Row],[Discount]]/100)</f>
        <v>94290</v>
      </c>
    </row>
    <row r="1094" spans="1:12" x14ac:dyDescent="0.55000000000000004">
      <c r="A1094" t="s">
        <v>1123</v>
      </c>
      <c r="B1094" s="2">
        <v>44941</v>
      </c>
      <c r="C1094" t="s">
        <v>19</v>
      </c>
      <c r="D1094" t="s">
        <v>46</v>
      </c>
      <c r="E1094" t="s">
        <v>17</v>
      </c>
      <c r="F1094" t="s">
        <v>38</v>
      </c>
      <c r="G1094">
        <v>37110</v>
      </c>
      <c r="H1094">
        <v>10</v>
      </c>
      <c r="I1094">
        <v>25</v>
      </c>
      <c r="J1094" t="s">
        <v>25</v>
      </c>
      <c r="K1094" s="4">
        <f>Table1[[#This Row],[Sales]]*Table1[[#This Row],[Quantity]]</f>
        <v>371100</v>
      </c>
      <c r="L1094" s="4">
        <f>Table1[[#This Row],[Revenue]]-(Table1[[#This Row],[Revenue]]*Table1[[#This Row],[Discount]]/100)</f>
        <v>278325</v>
      </c>
    </row>
    <row r="1095" spans="1:12" x14ac:dyDescent="0.55000000000000004">
      <c r="A1095" t="s">
        <v>1124</v>
      </c>
      <c r="B1095" s="2">
        <v>44936</v>
      </c>
      <c r="C1095" t="s">
        <v>24</v>
      </c>
      <c r="D1095" t="s">
        <v>20</v>
      </c>
      <c r="E1095" t="s">
        <v>11</v>
      </c>
      <c r="F1095" t="s">
        <v>12</v>
      </c>
      <c r="G1095">
        <v>21914</v>
      </c>
      <c r="H1095">
        <v>4</v>
      </c>
      <c r="I1095">
        <v>10</v>
      </c>
      <c r="J1095" t="s">
        <v>22</v>
      </c>
      <c r="K1095" s="4">
        <f>Table1[[#This Row],[Sales]]*Table1[[#This Row],[Quantity]]</f>
        <v>87656</v>
      </c>
      <c r="L1095" s="4">
        <f>Table1[[#This Row],[Revenue]]-(Table1[[#This Row],[Revenue]]*Table1[[#This Row],[Discount]]/100)</f>
        <v>78890.399999999994</v>
      </c>
    </row>
    <row r="1096" spans="1:12" x14ac:dyDescent="0.55000000000000004">
      <c r="A1096" t="s">
        <v>1125</v>
      </c>
      <c r="B1096" s="2">
        <v>44978</v>
      </c>
      <c r="C1096" t="s">
        <v>15</v>
      </c>
      <c r="D1096" t="s">
        <v>27</v>
      </c>
      <c r="E1096" t="s">
        <v>17</v>
      </c>
      <c r="F1096" t="s">
        <v>38</v>
      </c>
      <c r="G1096">
        <v>41319</v>
      </c>
      <c r="H1096">
        <v>8</v>
      </c>
      <c r="I1096">
        <v>3</v>
      </c>
      <c r="J1096" t="s">
        <v>25</v>
      </c>
      <c r="K1096" s="4">
        <f>Table1[[#This Row],[Sales]]*Table1[[#This Row],[Quantity]]</f>
        <v>330552</v>
      </c>
      <c r="L1096" s="4">
        <f>Table1[[#This Row],[Revenue]]-(Table1[[#This Row],[Revenue]]*Table1[[#This Row],[Discount]]/100)</f>
        <v>320635.44</v>
      </c>
    </row>
    <row r="1097" spans="1:12" x14ac:dyDescent="0.55000000000000004">
      <c r="A1097" t="s">
        <v>1126</v>
      </c>
      <c r="B1097" s="2">
        <v>45174</v>
      </c>
      <c r="C1097" t="s">
        <v>19</v>
      </c>
      <c r="D1097" t="s">
        <v>27</v>
      </c>
      <c r="E1097" t="s">
        <v>11</v>
      </c>
      <c r="F1097" t="s">
        <v>12</v>
      </c>
      <c r="G1097">
        <v>9962</v>
      </c>
      <c r="H1097">
        <v>1</v>
      </c>
      <c r="I1097">
        <v>20</v>
      </c>
      <c r="J1097" t="s">
        <v>25</v>
      </c>
      <c r="K1097" s="4">
        <f>Table1[[#This Row],[Sales]]*Table1[[#This Row],[Quantity]]</f>
        <v>9962</v>
      </c>
      <c r="L1097" s="4">
        <f>Table1[[#This Row],[Revenue]]-(Table1[[#This Row],[Revenue]]*Table1[[#This Row],[Discount]]/100)</f>
        <v>7969.6</v>
      </c>
    </row>
    <row r="1098" spans="1:12" x14ac:dyDescent="0.55000000000000004">
      <c r="A1098" t="s">
        <v>1127</v>
      </c>
      <c r="B1098" s="2">
        <v>45085</v>
      </c>
      <c r="C1098" t="s">
        <v>24</v>
      </c>
      <c r="D1098" t="s">
        <v>20</v>
      </c>
      <c r="E1098" t="s">
        <v>17</v>
      </c>
      <c r="F1098" t="s">
        <v>21</v>
      </c>
      <c r="G1098">
        <v>35110</v>
      </c>
      <c r="H1098">
        <v>8</v>
      </c>
      <c r="I1098">
        <v>19</v>
      </c>
      <c r="J1098" t="s">
        <v>25</v>
      </c>
      <c r="K1098" s="4">
        <f>Table1[[#This Row],[Sales]]*Table1[[#This Row],[Quantity]]</f>
        <v>280880</v>
      </c>
      <c r="L1098" s="4">
        <f>Table1[[#This Row],[Revenue]]-(Table1[[#This Row],[Revenue]]*Table1[[#This Row],[Discount]]/100)</f>
        <v>227512.8</v>
      </c>
    </row>
    <row r="1099" spans="1:12" x14ac:dyDescent="0.55000000000000004">
      <c r="A1099" t="s">
        <v>1128</v>
      </c>
      <c r="B1099" s="2">
        <v>45207</v>
      </c>
      <c r="C1099" t="s">
        <v>31</v>
      </c>
      <c r="D1099" t="s">
        <v>46</v>
      </c>
      <c r="E1099" t="s">
        <v>11</v>
      </c>
      <c r="F1099" t="s">
        <v>21</v>
      </c>
      <c r="G1099">
        <v>20522</v>
      </c>
      <c r="H1099">
        <v>6</v>
      </c>
      <c r="I1099">
        <v>11</v>
      </c>
      <c r="J1099" t="s">
        <v>13</v>
      </c>
      <c r="K1099" s="4">
        <f>Table1[[#This Row],[Sales]]*Table1[[#This Row],[Quantity]]</f>
        <v>123132</v>
      </c>
      <c r="L1099" s="4">
        <f>Table1[[#This Row],[Revenue]]-(Table1[[#This Row],[Revenue]]*Table1[[#This Row],[Discount]]/100)</f>
        <v>109587.48</v>
      </c>
    </row>
    <row r="1100" spans="1:12" x14ac:dyDescent="0.55000000000000004">
      <c r="A1100" t="s">
        <v>1129</v>
      </c>
      <c r="B1100" s="2">
        <v>45134</v>
      </c>
      <c r="C1100" t="s">
        <v>31</v>
      </c>
      <c r="D1100" t="s">
        <v>27</v>
      </c>
      <c r="E1100" t="s">
        <v>11</v>
      </c>
      <c r="F1100" t="s">
        <v>44</v>
      </c>
      <c r="G1100">
        <v>29614</v>
      </c>
      <c r="H1100">
        <v>9</v>
      </c>
      <c r="I1100">
        <v>20</v>
      </c>
      <c r="J1100" t="s">
        <v>25</v>
      </c>
      <c r="K1100" s="4">
        <f>Table1[[#This Row],[Sales]]*Table1[[#This Row],[Quantity]]</f>
        <v>266526</v>
      </c>
      <c r="L1100" s="4">
        <f>Table1[[#This Row],[Revenue]]-(Table1[[#This Row],[Revenue]]*Table1[[#This Row],[Discount]]/100)</f>
        <v>213220.8</v>
      </c>
    </row>
    <row r="1101" spans="1:12" x14ac:dyDescent="0.55000000000000004">
      <c r="A1101" t="s">
        <v>1130</v>
      </c>
      <c r="B1101" s="2">
        <v>45241</v>
      </c>
      <c r="C1101" t="s">
        <v>31</v>
      </c>
      <c r="D1101" t="s">
        <v>37</v>
      </c>
      <c r="E1101" t="s">
        <v>11</v>
      </c>
      <c r="F1101" t="s">
        <v>34</v>
      </c>
      <c r="G1101">
        <v>2587</v>
      </c>
      <c r="H1101">
        <v>4</v>
      </c>
      <c r="I1101">
        <v>30</v>
      </c>
      <c r="J1101" t="s">
        <v>25</v>
      </c>
      <c r="K1101" s="4">
        <f>Table1[[#This Row],[Sales]]*Table1[[#This Row],[Quantity]]</f>
        <v>10348</v>
      </c>
      <c r="L1101" s="4">
        <f>Table1[[#This Row],[Revenue]]-(Table1[[#This Row],[Revenue]]*Table1[[#This Row],[Discount]]/100)</f>
        <v>7243.6</v>
      </c>
    </row>
    <row r="1102" spans="1:12" x14ac:dyDescent="0.55000000000000004">
      <c r="A1102" t="s">
        <v>1131</v>
      </c>
      <c r="B1102" s="2">
        <v>45167</v>
      </c>
      <c r="C1102" t="s">
        <v>19</v>
      </c>
      <c r="D1102" t="s">
        <v>27</v>
      </c>
      <c r="E1102" t="s">
        <v>17</v>
      </c>
      <c r="F1102" t="s">
        <v>21</v>
      </c>
      <c r="G1102">
        <v>8676</v>
      </c>
      <c r="H1102">
        <v>3</v>
      </c>
      <c r="I1102">
        <v>25</v>
      </c>
      <c r="J1102" t="s">
        <v>25</v>
      </c>
      <c r="K1102" s="4">
        <f>Table1[[#This Row],[Sales]]*Table1[[#This Row],[Quantity]]</f>
        <v>26028</v>
      </c>
      <c r="L1102" s="4">
        <f>Table1[[#This Row],[Revenue]]-(Table1[[#This Row],[Revenue]]*Table1[[#This Row],[Discount]]/100)</f>
        <v>19521</v>
      </c>
    </row>
    <row r="1103" spans="1:12" x14ac:dyDescent="0.55000000000000004">
      <c r="A1103" t="s">
        <v>1132</v>
      </c>
      <c r="B1103" s="2">
        <v>45234</v>
      </c>
      <c r="C1103" t="s">
        <v>19</v>
      </c>
      <c r="D1103" t="s">
        <v>46</v>
      </c>
      <c r="E1103" t="s">
        <v>11</v>
      </c>
      <c r="F1103" t="s">
        <v>44</v>
      </c>
      <c r="G1103">
        <v>13596</v>
      </c>
      <c r="H1103">
        <v>7</v>
      </c>
      <c r="I1103">
        <v>3</v>
      </c>
      <c r="J1103" t="s">
        <v>22</v>
      </c>
      <c r="K1103" s="4">
        <f>Table1[[#This Row],[Sales]]*Table1[[#This Row],[Quantity]]</f>
        <v>95172</v>
      </c>
      <c r="L1103" s="4">
        <f>Table1[[#This Row],[Revenue]]-(Table1[[#This Row],[Revenue]]*Table1[[#This Row],[Discount]]/100)</f>
        <v>92316.84</v>
      </c>
    </row>
    <row r="1104" spans="1:12" x14ac:dyDescent="0.55000000000000004">
      <c r="A1104" t="s">
        <v>1133</v>
      </c>
      <c r="B1104" s="2">
        <v>45083</v>
      </c>
      <c r="C1104" t="s">
        <v>31</v>
      </c>
      <c r="D1104" t="s">
        <v>46</v>
      </c>
      <c r="E1104" t="s">
        <v>17</v>
      </c>
      <c r="F1104" t="s">
        <v>29</v>
      </c>
      <c r="G1104">
        <v>30238</v>
      </c>
      <c r="H1104">
        <v>6</v>
      </c>
      <c r="I1104">
        <v>30</v>
      </c>
      <c r="J1104" t="s">
        <v>25</v>
      </c>
      <c r="K1104" s="4">
        <f>Table1[[#This Row],[Sales]]*Table1[[#This Row],[Quantity]]</f>
        <v>181428</v>
      </c>
      <c r="L1104" s="4">
        <f>Table1[[#This Row],[Revenue]]-(Table1[[#This Row],[Revenue]]*Table1[[#This Row],[Discount]]/100)</f>
        <v>126999.6</v>
      </c>
    </row>
    <row r="1105" spans="1:12" x14ac:dyDescent="0.55000000000000004">
      <c r="A1105" t="s">
        <v>1134</v>
      </c>
      <c r="B1105" s="2">
        <v>45200</v>
      </c>
      <c r="C1105" t="s">
        <v>31</v>
      </c>
      <c r="D1105" t="s">
        <v>16</v>
      </c>
      <c r="E1105" t="s">
        <v>17</v>
      </c>
      <c r="F1105" t="s">
        <v>38</v>
      </c>
      <c r="G1105">
        <v>22040</v>
      </c>
      <c r="H1105">
        <v>3</v>
      </c>
      <c r="I1105">
        <v>29</v>
      </c>
      <c r="J1105" t="s">
        <v>22</v>
      </c>
      <c r="K1105" s="4">
        <f>Table1[[#This Row],[Sales]]*Table1[[#This Row],[Quantity]]</f>
        <v>66120</v>
      </c>
      <c r="L1105" s="4">
        <f>Table1[[#This Row],[Revenue]]-(Table1[[#This Row],[Revenue]]*Table1[[#This Row],[Discount]]/100)</f>
        <v>46945.2</v>
      </c>
    </row>
    <row r="1106" spans="1:12" x14ac:dyDescent="0.55000000000000004">
      <c r="A1106" t="s">
        <v>1135</v>
      </c>
      <c r="B1106" s="2">
        <v>45218</v>
      </c>
      <c r="C1106" t="s">
        <v>31</v>
      </c>
      <c r="D1106" t="s">
        <v>37</v>
      </c>
      <c r="E1106" t="s">
        <v>11</v>
      </c>
      <c r="F1106" t="s">
        <v>29</v>
      </c>
      <c r="G1106">
        <v>15831</v>
      </c>
      <c r="H1106">
        <v>2</v>
      </c>
      <c r="I1106">
        <v>21</v>
      </c>
      <c r="J1106" t="s">
        <v>22</v>
      </c>
      <c r="K1106" s="4">
        <f>Table1[[#This Row],[Sales]]*Table1[[#This Row],[Quantity]]</f>
        <v>31662</v>
      </c>
      <c r="L1106" s="4">
        <f>Table1[[#This Row],[Revenue]]-(Table1[[#This Row],[Revenue]]*Table1[[#This Row],[Discount]]/100)</f>
        <v>25012.98</v>
      </c>
    </row>
    <row r="1107" spans="1:12" x14ac:dyDescent="0.55000000000000004">
      <c r="A1107" t="s">
        <v>1136</v>
      </c>
      <c r="B1107" s="2">
        <v>45195</v>
      </c>
      <c r="C1107" t="s">
        <v>15</v>
      </c>
      <c r="D1107" t="s">
        <v>37</v>
      </c>
      <c r="E1107" t="s">
        <v>17</v>
      </c>
      <c r="F1107" t="s">
        <v>21</v>
      </c>
      <c r="G1107">
        <v>14774</v>
      </c>
      <c r="H1107">
        <v>3</v>
      </c>
      <c r="I1107">
        <v>19</v>
      </c>
      <c r="J1107" t="s">
        <v>22</v>
      </c>
      <c r="K1107" s="4">
        <f>Table1[[#This Row],[Sales]]*Table1[[#This Row],[Quantity]]</f>
        <v>44322</v>
      </c>
      <c r="L1107" s="4">
        <f>Table1[[#This Row],[Revenue]]-(Table1[[#This Row],[Revenue]]*Table1[[#This Row],[Discount]]/100)</f>
        <v>35900.82</v>
      </c>
    </row>
    <row r="1108" spans="1:12" x14ac:dyDescent="0.55000000000000004">
      <c r="A1108" t="s">
        <v>1137</v>
      </c>
      <c r="B1108" s="2">
        <v>44973</v>
      </c>
      <c r="C1108" t="s">
        <v>24</v>
      </c>
      <c r="D1108" t="s">
        <v>16</v>
      </c>
      <c r="E1108" t="s">
        <v>11</v>
      </c>
      <c r="F1108" t="s">
        <v>44</v>
      </c>
      <c r="G1108">
        <v>48254</v>
      </c>
      <c r="H1108">
        <v>10</v>
      </c>
      <c r="I1108">
        <v>19</v>
      </c>
      <c r="J1108" t="s">
        <v>13</v>
      </c>
      <c r="K1108" s="4">
        <f>Table1[[#This Row],[Sales]]*Table1[[#This Row],[Quantity]]</f>
        <v>482540</v>
      </c>
      <c r="L1108" s="4">
        <f>Table1[[#This Row],[Revenue]]-(Table1[[#This Row],[Revenue]]*Table1[[#This Row],[Discount]]/100)</f>
        <v>390857.4</v>
      </c>
    </row>
    <row r="1109" spans="1:12" x14ac:dyDescent="0.55000000000000004">
      <c r="A1109" t="s">
        <v>1138</v>
      </c>
      <c r="B1109" s="2">
        <v>44992</v>
      </c>
      <c r="C1109" t="s">
        <v>15</v>
      </c>
      <c r="D1109" t="s">
        <v>46</v>
      </c>
      <c r="E1109" t="s">
        <v>17</v>
      </c>
      <c r="F1109" t="s">
        <v>29</v>
      </c>
      <c r="G1109">
        <v>27392</v>
      </c>
      <c r="H1109">
        <v>10</v>
      </c>
      <c r="I1109">
        <v>26</v>
      </c>
      <c r="J1109" t="s">
        <v>22</v>
      </c>
      <c r="K1109" s="4">
        <f>Table1[[#This Row],[Sales]]*Table1[[#This Row],[Quantity]]</f>
        <v>273920</v>
      </c>
      <c r="L1109" s="4">
        <f>Table1[[#This Row],[Revenue]]-(Table1[[#This Row],[Revenue]]*Table1[[#This Row],[Discount]]/100)</f>
        <v>202700.79999999999</v>
      </c>
    </row>
    <row r="1110" spans="1:12" x14ac:dyDescent="0.55000000000000004">
      <c r="A1110" t="s">
        <v>1139</v>
      </c>
      <c r="B1110" s="2">
        <v>45222</v>
      </c>
      <c r="C1110" t="s">
        <v>31</v>
      </c>
      <c r="D1110" t="s">
        <v>27</v>
      </c>
      <c r="E1110" t="s">
        <v>17</v>
      </c>
      <c r="F1110" t="s">
        <v>12</v>
      </c>
      <c r="G1110">
        <v>13379</v>
      </c>
      <c r="H1110">
        <v>10</v>
      </c>
      <c r="I1110">
        <v>28</v>
      </c>
      <c r="J1110" t="s">
        <v>25</v>
      </c>
      <c r="K1110" s="4">
        <f>Table1[[#This Row],[Sales]]*Table1[[#This Row],[Quantity]]</f>
        <v>133790</v>
      </c>
      <c r="L1110" s="4">
        <f>Table1[[#This Row],[Revenue]]-(Table1[[#This Row],[Revenue]]*Table1[[#This Row],[Discount]]/100)</f>
        <v>96328.8</v>
      </c>
    </row>
    <row r="1111" spans="1:12" x14ac:dyDescent="0.55000000000000004">
      <c r="A1111" t="s">
        <v>1140</v>
      </c>
      <c r="B1111" s="2">
        <v>45113</v>
      </c>
      <c r="C1111" t="s">
        <v>31</v>
      </c>
      <c r="D1111" t="s">
        <v>46</v>
      </c>
      <c r="E1111" t="s">
        <v>11</v>
      </c>
      <c r="F1111" t="s">
        <v>12</v>
      </c>
      <c r="G1111">
        <v>7256</v>
      </c>
      <c r="H1111">
        <v>1</v>
      </c>
      <c r="I1111">
        <v>9</v>
      </c>
      <c r="J1111" t="s">
        <v>25</v>
      </c>
      <c r="K1111" s="4">
        <f>Table1[[#This Row],[Sales]]*Table1[[#This Row],[Quantity]]</f>
        <v>7256</v>
      </c>
      <c r="L1111" s="4">
        <f>Table1[[#This Row],[Revenue]]-(Table1[[#This Row],[Revenue]]*Table1[[#This Row],[Discount]]/100)</f>
        <v>6602.96</v>
      </c>
    </row>
    <row r="1112" spans="1:12" x14ac:dyDescent="0.55000000000000004">
      <c r="A1112" t="s">
        <v>1141</v>
      </c>
      <c r="B1112" s="2">
        <v>44983</v>
      </c>
      <c r="C1112" t="s">
        <v>24</v>
      </c>
      <c r="D1112" t="s">
        <v>16</v>
      </c>
      <c r="E1112" t="s">
        <v>17</v>
      </c>
      <c r="F1112" t="s">
        <v>38</v>
      </c>
      <c r="G1112">
        <v>23750</v>
      </c>
      <c r="H1112">
        <v>9</v>
      </c>
      <c r="I1112">
        <v>12</v>
      </c>
      <c r="J1112" t="s">
        <v>13</v>
      </c>
      <c r="K1112" s="4">
        <f>Table1[[#This Row],[Sales]]*Table1[[#This Row],[Quantity]]</f>
        <v>213750</v>
      </c>
      <c r="L1112" s="4">
        <f>Table1[[#This Row],[Revenue]]-(Table1[[#This Row],[Revenue]]*Table1[[#This Row],[Discount]]/100)</f>
        <v>188100</v>
      </c>
    </row>
    <row r="1113" spans="1:12" x14ac:dyDescent="0.55000000000000004">
      <c r="A1113" t="s">
        <v>1142</v>
      </c>
      <c r="B1113" s="2">
        <v>45102</v>
      </c>
      <c r="C1113" t="s">
        <v>19</v>
      </c>
      <c r="D1113" t="s">
        <v>20</v>
      </c>
      <c r="E1113" t="s">
        <v>17</v>
      </c>
      <c r="F1113" t="s">
        <v>34</v>
      </c>
      <c r="G1113">
        <v>41060</v>
      </c>
      <c r="H1113">
        <v>3</v>
      </c>
      <c r="I1113">
        <v>6</v>
      </c>
      <c r="J1113" t="s">
        <v>13</v>
      </c>
      <c r="K1113" s="4">
        <f>Table1[[#This Row],[Sales]]*Table1[[#This Row],[Quantity]]</f>
        <v>123180</v>
      </c>
      <c r="L1113" s="4">
        <f>Table1[[#This Row],[Revenue]]-(Table1[[#This Row],[Revenue]]*Table1[[#This Row],[Discount]]/100)</f>
        <v>115789.2</v>
      </c>
    </row>
    <row r="1114" spans="1:12" x14ac:dyDescent="0.55000000000000004">
      <c r="A1114" t="s">
        <v>1143</v>
      </c>
      <c r="B1114" s="2">
        <v>45235</v>
      </c>
      <c r="C1114" t="s">
        <v>19</v>
      </c>
      <c r="D1114" t="s">
        <v>27</v>
      </c>
      <c r="E1114" t="s">
        <v>17</v>
      </c>
      <c r="F1114" t="s">
        <v>21</v>
      </c>
      <c r="G1114">
        <v>40806</v>
      </c>
      <c r="H1114">
        <v>5</v>
      </c>
      <c r="I1114">
        <v>13</v>
      </c>
      <c r="J1114" t="s">
        <v>13</v>
      </c>
      <c r="K1114" s="4">
        <f>Table1[[#This Row],[Sales]]*Table1[[#This Row],[Quantity]]</f>
        <v>204030</v>
      </c>
      <c r="L1114" s="4">
        <f>Table1[[#This Row],[Revenue]]-(Table1[[#This Row],[Revenue]]*Table1[[#This Row],[Discount]]/100)</f>
        <v>177506.1</v>
      </c>
    </row>
    <row r="1115" spans="1:12" x14ac:dyDescent="0.55000000000000004">
      <c r="A1115" t="s">
        <v>1144</v>
      </c>
      <c r="B1115" s="2">
        <v>45088</v>
      </c>
      <c r="C1115" t="s">
        <v>19</v>
      </c>
      <c r="D1115" t="s">
        <v>20</v>
      </c>
      <c r="E1115" t="s">
        <v>17</v>
      </c>
      <c r="F1115" t="s">
        <v>21</v>
      </c>
      <c r="G1115">
        <v>32977</v>
      </c>
      <c r="H1115">
        <v>5</v>
      </c>
      <c r="I1115">
        <v>29</v>
      </c>
      <c r="J1115" t="s">
        <v>22</v>
      </c>
      <c r="K1115" s="4">
        <f>Table1[[#This Row],[Sales]]*Table1[[#This Row],[Quantity]]</f>
        <v>164885</v>
      </c>
      <c r="L1115" s="4">
        <f>Table1[[#This Row],[Revenue]]-(Table1[[#This Row],[Revenue]]*Table1[[#This Row],[Discount]]/100)</f>
        <v>117068.35</v>
      </c>
    </row>
    <row r="1116" spans="1:12" x14ac:dyDescent="0.55000000000000004">
      <c r="A1116" t="s">
        <v>1145</v>
      </c>
      <c r="B1116" s="2">
        <v>45185</v>
      </c>
      <c r="C1116" t="s">
        <v>31</v>
      </c>
      <c r="D1116" t="s">
        <v>46</v>
      </c>
      <c r="E1116" t="s">
        <v>17</v>
      </c>
      <c r="F1116" t="s">
        <v>34</v>
      </c>
      <c r="G1116">
        <v>32695</v>
      </c>
      <c r="H1116">
        <v>2</v>
      </c>
      <c r="I1116">
        <v>17</v>
      </c>
      <c r="J1116" t="s">
        <v>13</v>
      </c>
      <c r="K1116" s="4">
        <f>Table1[[#This Row],[Sales]]*Table1[[#This Row],[Quantity]]</f>
        <v>65390</v>
      </c>
      <c r="L1116" s="4">
        <f>Table1[[#This Row],[Revenue]]-(Table1[[#This Row],[Revenue]]*Table1[[#This Row],[Discount]]/100)</f>
        <v>54273.7</v>
      </c>
    </row>
    <row r="1117" spans="1:12" x14ac:dyDescent="0.55000000000000004">
      <c r="A1117" t="s">
        <v>1146</v>
      </c>
      <c r="B1117" s="2">
        <v>44990</v>
      </c>
      <c r="C1117" t="s">
        <v>15</v>
      </c>
      <c r="D1117" t="s">
        <v>16</v>
      </c>
      <c r="E1117" t="s">
        <v>11</v>
      </c>
      <c r="F1117" t="s">
        <v>29</v>
      </c>
      <c r="G1117">
        <v>38746</v>
      </c>
      <c r="H1117">
        <v>1</v>
      </c>
      <c r="I1117">
        <v>3</v>
      </c>
      <c r="J1117" t="s">
        <v>22</v>
      </c>
      <c r="K1117" s="4">
        <f>Table1[[#This Row],[Sales]]*Table1[[#This Row],[Quantity]]</f>
        <v>38746</v>
      </c>
      <c r="L1117" s="4">
        <f>Table1[[#This Row],[Revenue]]-(Table1[[#This Row],[Revenue]]*Table1[[#This Row],[Discount]]/100)</f>
        <v>37583.620000000003</v>
      </c>
    </row>
    <row r="1118" spans="1:12" x14ac:dyDescent="0.55000000000000004">
      <c r="A1118" t="s">
        <v>1147</v>
      </c>
      <c r="B1118" s="2">
        <v>45134</v>
      </c>
      <c r="C1118" t="s">
        <v>19</v>
      </c>
      <c r="D1118" t="s">
        <v>46</v>
      </c>
      <c r="E1118" t="s">
        <v>11</v>
      </c>
      <c r="F1118" t="s">
        <v>12</v>
      </c>
      <c r="G1118">
        <v>17371</v>
      </c>
      <c r="H1118">
        <v>6</v>
      </c>
      <c r="I1118">
        <v>7</v>
      </c>
      <c r="J1118" t="s">
        <v>22</v>
      </c>
      <c r="K1118" s="4">
        <f>Table1[[#This Row],[Sales]]*Table1[[#This Row],[Quantity]]</f>
        <v>104226</v>
      </c>
      <c r="L1118" s="4">
        <f>Table1[[#This Row],[Revenue]]-(Table1[[#This Row],[Revenue]]*Table1[[#This Row],[Discount]]/100)</f>
        <v>96930.18</v>
      </c>
    </row>
    <row r="1119" spans="1:12" x14ac:dyDescent="0.55000000000000004">
      <c r="A1119" t="s">
        <v>1148</v>
      </c>
      <c r="B1119" s="2">
        <v>45184</v>
      </c>
      <c r="C1119" t="s">
        <v>31</v>
      </c>
      <c r="D1119" t="s">
        <v>37</v>
      </c>
      <c r="E1119" t="s">
        <v>11</v>
      </c>
      <c r="F1119" t="s">
        <v>44</v>
      </c>
      <c r="G1119">
        <v>26465</v>
      </c>
      <c r="H1119">
        <v>3</v>
      </c>
      <c r="I1119">
        <v>3</v>
      </c>
      <c r="J1119" t="s">
        <v>13</v>
      </c>
      <c r="K1119" s="4">
        <f>Table1[[#This Row],[Sales]]*Table1[[#This Row],[Quantity]]</f>
        <v>79395</v>
      </c>
      <c r="L1119" s="4">
        <f>Table1[[#This Row],[Revenue]]-(Table1[[#This Row],[Revenue]]*Table1[[#This Row],[Discount]]/100)</f>
        <v>77013.149999999994</v>
      </c>
    </row>
    <row r="1120" spans="1:12" x14ac:dyDescent="0.55000000000000004">
      <c r="A1120" t="s">
        <v>1149</v>
      </c>
      <c r="B1120" s="2">
        <v>45046</v>
      </c>
      <c r="C1120" t="s">
        <v>15</v>
      </c>
      <c r="D1120" t="s">
        <v>37</v>
      </c>
      <c r="E1120" t="s">
        <v>17</v>
      </c>
      <c r="F1120" t="s">
        <v>44</v>
      </c>
      <c r="G1120">
        <v>5463</v>
      </c>
      <c r="H1120">
        <v>10</v>
      </c>
      <c r="I1120">
        <v>9</v>
      </c>
      <c r="J1120" t="s">
        <v>22</v>
      </c>
      <c r="K1120" s="4">
        <f>Table1[[#This Row],[Sales]]*Table1[[#This Row],[Quantity]]</f>
        <v>54630</v>
      </c>
      <c r="L1120" s="4">
        <f>Table1[[#This Row],[Revenue]]-(Table1[[#This Row],[Revenue]]*Table1[[#This Row],[Discount]]/100)</f>
        <v>49713.3</v>
      </c>
    </row>
    <row r="1121" spans="1:12" x14ac:dyDescent="0.55000000000000004">
      <c r="A1121" t="s">
        <v>1150</v>
      </c>
      <c r="B1121" s="2">
        <v>45235</v>
      </c>
      <c r="C1121" t="s">
        <v>24</v>
      </c>
      <c r="D1121" t="s">
        <v>46</v>
      </c>
      <c r="E1121" t="s">
        <v>17</v>
      </c>
      <c r="F1121" t="s">
        <v>48</v>
      </c>
      <c r="G1121">
        <v>12776</v>
      </c>
      <c r="H1121">
        <v>8</v>
      </c>
      <c r="I1121">
        <v>23</v>
      </c>
      <c r="J1121" t="s">
        <v>13</v>
      </c>
      <c r="K1121" s="4">
        <f>Table1[[#This Row],[Sales]]*Table1[[#This Row],[Quantity]]</f>
        <v>102208</v>
      </c>
      <c r="L1121" s="4">
        <f>Table1[[#This Row],[Revenue]]-(Table1[[#This Row],[Revenue]]*Table1[[#This Row],[Discount]]/100)</f>
        <v>78700.160000000003</v>
      </c>
    </row>
    <row r="1122" spans="1:12" x14ac:dyDescent="0.55000000000000004">
      <c r="A1122" t="s">
        <v>1151</v>
      </c>
      <c r="B1122" s="2">
        <v>45031</v>
      </c>
      <c r="C1122" t="s">
        <v>15</v>
      </c>
      <c r="D1122" t="s">
        <v>37</v>
      </c>
      <c r="E1122" t="s">
        <v>11</v>
      </c>
      <c r="F1122" t="s">
        <v>21</v>
      </c>
      <c r="G1122">
        <v>9228</v>
      </c>
      <c r="H1122">
        <v>6</v>
      </c>
      <c r="I1122">
        <v>15</v>
      </c>
      <c r="J1122" t="s">
        <v>13</v>
      </c>
      <c r="K1122" s="4">
        <f>Table1[[#This Row],[Sales]]*Table1[[#This Row],[Quantity]]</f>
        <v>55368</v>
      </c>
      <c r="L1122" s="4">
        <f>Table1[[#This Row],[Revenue]]-(Table1[[#This Row],[Revenue]]*Table1[[#This Row],[Discount]]/100)</f>
        <v>47062.8</v>
      </c>
    </row>
    <row r="1123" spans="1:12" x14ac:dyDescent="0.55000000000000004">
      <c r="A1123" t="s">
        <v>1152</v>
      </c>
      <c r="B1123" s="2">
        <v>45046</v>
      </c>
      <c r="C1123" t="s">
        <v>31</v>
      </c>
      <c r="D1123" t="s">
        <v>20</v>
      </c>
      <c r="E1123" t="s">
        <v>11</v>
      </c>
      <c r="F1123" t="s">
        <v>34</v>
      </c>
      <c r="G1123">
        <v>22247</v>
      </c>
      <c r="H1123">
        <v>8</v>
      </c>
      <c r="I1123">
        <v>27</v>
      </c>
      <c r="J1123" t="s">
        <v>25</v>
      </c>
      <c r="K1123" s="4">
        <f>Table1[[#This Row],[Sales]]*Table1[[#This Row],[Quantity]]</f>
        <v>177976</v>
      </c>
      <c r="L1123" s="4">
        <f>Table1[[#This Row],[Revenue]]-(Table1[[#This Row],[Revenue]]*Table1[[#This Row],[Discount]]/100)</f>
        <v>129922.48000000001</v>
      </c>
    </row>
    <row r="1124" spans="1:12" x14ac:dyDescent="0.55000000000000004">
      <c r="A1124" t="s">
        <v>1153</v>
      </c>
      <c r="B1124" s="2">
        <v>45229</v>
      </c>
      <c r="C1124" t="s">
        <v>31</v>
      </c>
      <c r="D1124" t="s">
        <v>16</v>
      </c>
      <c r="E1124" t="s">
        <v>17</v>
      </c>
      <c r="F1124" t="s">
        <v>38</v>
      </c>
      <c r="G1124">
        <v>40772</v>
      </c>
      <c r="H1124">
        <v>6</v>
      </c>
      <c r="I1124">
        <v>6</v>
      </c>
      <c r="J1124" t="s">
        <v>25</v>
      </c>
      <c r="K1124" s="4">
        <f>Table1[[#This Row],[Sales]]*Table1[[#This Row],[Quantity]]</f>
        <v>244632</v>
      </c>
      <c r="L1124" s="4">
        <f>Table1[[#This Row],[Revenue]]-(Table1[[#This Row],[Revenue]]*Table1[[#This Row],[Discount]]/100)</f>
        <v>229954.08</v>
      </c>
    </row>
    <row r="1125" spans="1:12" x14ac:dyDescent="0.55000000000000004">
      <c r="A1125" t="s">
        <v>1154</v>
      </c>
      <c r="B1125" s="2">
        <v>45099</v>
      </c>
      <c r="C1125" t="s">
        <v>31</v>
      </c>
      <c r="D1125" t="s">
        <v>16</v>
      </c>
      <c r="E1125" t="s">
        <v>17</v>
      </c>
      <c r="F1125" t="s">
        <v>44</v>
      </c>
      <c r="G1125">
        <v>15806</v>
      </c>
      <c r="H1125">
        <v>1</v>
      </c>
      <c r="I1125">
        <v>8</v>
      </c>
      <c r="J1125" t="s">
        <v>13</v>
      </c>
      <c r="K1125" s="4">
        <f>Table1[[#This Row],[Sales]]*Table1[[#This Row],[Quantity]]</f>
        <v>15806</v>
      </c>
      <c r="L1125" s="4">
        <f>Table1[[#This Row],[Revenue]]-(Table1[[#This Row],[Revenue]]*Table1[[#This Row],[Discount]]/100)</f>
        <v>14541.52</v>
      </c>
    </row>
    <row r="1126" spans="1:12" x14ac:dyDescent="0.55000000000000004">
      <c r="A1126" t="s">
        <v>1155</v>
      </c>
      <c r="B1126" s="2">
        <v>44947</v>
      </c>
      <c r="C1126" t="s">
        <v>31</v>
      </c>
      <c r="D1126" t="s">
        <v>20</v>
      </c>
      <c r="E1126" t="s">
        <v>17</v>
      </c>
      <c r="F1126" t="s">
        <v>44</v>
      </c>
      <c r="G1126">
        <v>37788</v>
      </c>
      <c r="H1126">
        <v>2</v>
      </c>
      <c r="I1126">
        <v>24</v>
      </c>
      <c r="J1126" t="s">
        <v>25</v>
      </c>
      <c r="K1126" s="4">
        <f>Table1[[#This Row],[Sales]]*Table1[[#This Row],[Quantity]]</f>
        <v>75576</v>
      </c>
      <c r="L1126" s="4">
        <f>Table1[[#This Row],[Revenue]]-(Table1[[#This Row],[Revenue]]*Table1[[#This Row],[Discount]]/100)</f>
        <v>57437.759999999995</v>
      </c>
    </row>
    <row r="1127" spans="1:12" x14ac:dyDescent="0.55000000000000004">
      <c r="A1127" t="s">
        <v>1156</v>
      </c>
      <c r="B1127" s="2">
        <v>45236</v>
      </c>
      <c r="C1127" t="s">
        <v>19</v>
      </c>
      <c r="D1127" t="s">
        <v>37</v>
      </c>
      <c r="E1127" t="s">
        <v>11</v>
      </c>
      <c r="F1127" t="s">
        <v>21</v>
      </c>
      <c r="G1127">
        <v>29048</v>
      </c>
      <c r="H1127">
        <v>6</v>
      </c>
      <c r="I1127">
        <v>20</v>
      </c>
      <c r="J1127" t="s">
        <v>22</v>
      </c>
      <c r="K1127" s="4">
        <f>Table1[[#This Row],[Sales]]*Table1[[#This Row],[Quantity]]</f>
        <v>174288</v>
      </c>
      <c r="L1127" s="4">
        <f>Table1[[#This Row],[Revenue]]-(Table1[[#This Row],[Revenue]]*Table1[[#This Row],[Discount]]/100)</f>
        <v>139430.39999999999</v>
      </c>
    </row>
    <row r="1128" spans="1:12" x14ac:dyDescent="0.55000000000000004">
      <c r="A1128" t="s">
        <v>1157</v>
      </c>
      <c r="B1128" s="2">
        <v>45264</v>
      </c>
      <c r="C1128" t="s">
        <v>31</v>
      </c>
      <c r="D1128" t="s">
        <v>16</v>
      </c>
      <c r="E1128" t="s">
        <v>17</v>
      </c>
      <c r="F1128" t="s">
        <v>48</v>
      </c>
      <c r="G1128">
        <v>12617</v>
      </c>
      <c r="H1128">
        <v>9</v>
      </c>
      <c r="I1128">
        <v>20</v>
      </c>
      <c r="J1128" t="s">
        <v>25</v>
      </c>
      <c r="K1128" s="4">
        <f>Table1[[#This Row],[Sales]]*Table1[[#This Row],[Quantity]]</f>
        <v>113553</v>
      </c>
      <c r="L1128" s="4">
        <f>Table1[[#This Row],[Revenue]]-(Table1[[#This Row],[Revenue]]*Table1[[#This Row],[Discount]]/100)</f>
        <v>90842.4</v>
      </c>
    </row>
    <row r="1129" spans="1:12" x14ac:dyDescent="0.55000000000000004">
      <c r="A1129" t="s">
        <v>1158</v>
      </c>
      <c r="B1129" s="2">
        <v>45055</v>
      </c>
      <c r="C1129" t="s">
        <v>24</v>
      </c>
      <c r="D1129" t="s">
        <v>20</v>
      </c>
      <c r="E1129" t="s">
        <v>11</v>
      </c>
      <c r="F1129" t="s">
        <v>38</v>
      </c>
      <c r="G1129">
        <v>35969</v>
      </c>
      <c r="H1129">
        <v>5</v>
      </c>
      <c r="I1129">
        <v>24</v>
      </c>
      <c r="J1129" t="s">
        <v>22</v>
      </c>
      <c r="K1129" s="4">
        <f>Table1[[#This Row],[Sales]]*Table1[[#This Row],[Quantity]]</f>
        <v>179845</v>
      </c>
      <c r="L1129" s="4">
        <f>Table1[[#This Row],[Revenue]]-(Table1[[#This Row],[Revenue]]*Table1[[#This Row],[Discount]]/100)</f>
        <v>136682.20000000001</v>
      </c>
    </row>
    <row r="1130" spans="1:12" x14ac:dyDescent="0.55000000000000004">
      <c r="A1130" t="s">
        <v>1159</v>
      </c>
      <c r="B1130" s="2">
        <v>45061</v>
      </c>
      <c r="C1130" t="s">
        <v>15</v>
      </c>
      <c r="D1130" t="s">
        <v>37</v>
      </c>
      <c r="E1130" t="s">
        <v>11</v>
      </c>
      <c r="F1130" t="s">
        <v>38</v>
      </c>
      <c r="G1130">
        <v>2821</v>
      </c>
      <c r="H1130">
        <v>2</v>
      </c>
      <c r="I1130">
        <v>20</v>
      </c>
      <c r="J1130" t="s">
        <v>25</v>
      </c>
      <c r="K1130" s="4">
        <f>Table1[[#This Row],[Sales]]*Table1[[#This Row],[Quantity]]</f>
        <v>5642</v>
      </c>
      <c r="L1130" s="4">
        <f>Table1[[#This Row],[Revenue]]-(Table1[[#This Row],[Revenue]]*Table1[[#This Row],[Discount]]/100)</f>
        <v>4513.6000000000004</v>
      </c>
    </row>
    <row r="1131" spans="1:12" x14ac:dyDescent="0.55000000000000004">
      <c r="A1131" t="s">
        <v>1160</v>
      </c>
      <c r="B1131" s="2">
        <v>45086</v>
      </c>
      <c r="C1131" t="s">
        <v>31</v>
      </c>
      <c r="D1131" t="s">
        <v>46</v>
      </c>
      <c r="E1131" t="s">
        <v>17</v>
      </c>
      <c r="F1131" t="s">
        <v>48</v>
      </c>
      <c r="G1131">
        <v>32704</v>
      </c>
      <c r="H1131">
        <v>8</v>
      </c>
      <c r="I1131">
        <v>11</v>
      </c>
      <c r="J1131" t="s">
        <v>22</v>
      </c>
      <c r="K1131" s="4">
        <f>Table1[[#This Row],[Sales]]*Table1[[#This Row],[Quantity]]</f>
        <v>261632</v>
      </c>
      <c r="L1131" s="4">
        <f>Table1[[#This Row],[Revenue]]-(Table1[[#This Row],[Revenue]]*Table1[[#This Row],[Discount]]/100)</f>
        <v>232852.48000000001</v>
      </c>
    </row>
    <row r="1132" spans="1:12" x14ac:dyDescent="0.55000000000000004">
      <c r="A1132" t="s">
        <v>1161</v>
      </c>
      <c r="B1132" s="2">
        <v>45226</v>
      </c>
      <c r="C1132" t="s">
        <v>24</v>
      </c>
      <c r="D1132" t="s">
        <v>16</v>
      </c>
      <c r="E1132" t="s">
        <v>17</v>
      </c>
      <c r="F1132" t="s">
        <v>48</v>
      </c>
      <c r="G1132">
        <v>49519</v>
      </c>
      <c r="H1132">
        <v>2</v>
      </c>
      <c r="I1132">
        <v>28</v>
      </c>
      <c r="J1132" t="s">
        <v>22</v>
      </c>
      <c r="K1132" s="4">
        <f>Table1[[#This Row],[Sales]]*Table1[[#This Row],[Quantity]]</f>
        <v>99038</v>
      </c>
      <c r="L1132" s="4">
        <f>Table1[[#This Row],[Revenue]]-(Table1[[#This Row],[Revenue]]*Table1[[#This Row],[Discount]]/100)</f>
        <v>71307.360000000001</v>
      </c>
    </row>
    <row r="1133" spans="1:12" x14ac:dyDescent="0.55000000000000004">
      <c r="A1133" t="s">
        <v>1162</v>
      </c>
      <c r="B1133" s="2">
        <v>45186</v>
      </c>
      <c r="C1133" t="s">
        <v>24</v>
      </c>
      <c r="D1133" t="s">
        <v>20</v>
      </c>
      <c r="E1133" t="s">
        <v>11</v>
      </c>
      <c r="F1133" t="s">
        <v>44</v>
      </c>
      <c r="G1133">
        <v>8722</v>
      </c>
      <c r="H1133">
        <v>4</v>
      </c>
      <c r="I1133">
        <v>18</v>
      </c>
      <c r="J1133" t="s">
        <v>25</v>
      </c>
      <c r="K1133" s="4">
        <f>Table1[[#This Row],[Sales]]*Table1[[#This Row],[Quantity]]</f>
        <v>34888</v>
      </c>
      <c r="L1133" s="4">
        <f>Table1[[#This Row],[Revenue]]-(Table1[[#This Row],[Revenue]]*Table1[[#This Row],[Discount]]/100)</f>
        <v>28608.16</v>
      </c>
    </row>
    <row r="1134" spans="1:12" x14ac:dyDescent="0.55000000000000004">
      <c r="A1134" t="s">
        <v>1163</v>
      </c>
      <c r="B1134" s="2">
        <v>45022</v>
      </c>
      <c r="C1134" t="s">
        <v>15</v>
      </c>
      <c r="D1134" t="s">
        <v>37</v>
      </c>
      <c r="E1134" t="s">
        <v>11</v>
      </c>
      <c r="F1134" t="s">
        <v>21</v>
      </c>
      <c r="G1134">
        <v>32857</v>
      </c>
      <c r="H1134">
        <v>3</v>
      </c>
      <c r="I1134">
        <v>26</v>
      </c>
      <c r="J1134" t="s">
        <v>22</v>
      </c>
      <c r="K1134" s="4">
        <f>Table1[[#This Row],[Sales]]*Table1[[#This Row],[Quantity]]</f>
        <v>98571</v>
      </c>
      <c r="L1134" s="4">
        <f>Table1[[#This Row],[Revenue]]-(Table1[[#This Row],[Revenue]]*Table1[[#This Row],[Discount]]/100)</f>
        <v>72942.540000000008</v>
      </c>
    </row>
    <row r="1135" spans="1:12" x14ac:dyDescent="0.55000000000000004">
      <c r="A1135" t="s">
        <v>1164</v>
      </c>
      <c r="B1135" s="2">
        <v>45255</v>
      </c>
      <c r="C1135" t="s">
        <v>19</v>
      </c>
      <c r="D1135" t="s">
        <v>27</v>
      </c>
      <c r="E1135" t="s">
        <v>11</v>
      </c>
      <c r="F1135" t="s">
        <v>34</v>
      </c>
      <c r="G1135">
        <v>41534</v>
      </c>
      <c r="H1135">
        <v>7</v>
      </c>
      <c r="I1135">
        <v>28</v>
      </c>
      <c r="J1135" t="s">
        <v>22</v>
      </c>
      <c r="K1135" s="4">
        <f>Table1[[#This Row],[Sales]]*Table1[[#This Row],[Quantity]]</f>
        <v>290738</v>
      </c>
      <c r="L1135" s="4">
        <f>Table1[[#This Row],[Revenue]]-(Table1[[#This Row],[Revenue]]*Table1[[#This Row],[Discount]]/100)</f>
        <v>209331.36</v>
      </c>
    </row>
    <row r="1136" spans="1:12" x14ac:dyDescent="0.55000000000000004">
      <c r="A1136" t="s">
        <v>1165</v>
      </c>
      <c r="B1136" s="2">
        <v>45076</v>
      </c>
      <c r="C1136" t="s">
        <v>19</v>
      </c>
      <c r="D1136" t="s">
        <v>20</v>
      </c>
      <c r="E1136" t="s">
        <v>11</v>
      </c>
      <c r="F1136" t="s">
        <v>21</v>
      </c>
      <c r="G1136">
        <v>32547</v>
      </c>
      <c r="H1136">
        <v>10</v>
      </c>
      <c r="I1136">
        <v>2</v>
      </c>
      <c r="J1136" t="s">
        <v>13</v>
      </c>
      <c r="K1136" s="4">
        <f>Table1[[#This Row],[Sales]]*Table1[[#This Row],[Quantity]]</f>
        <v>325470</v>
      </c>
      <c r="L1136" s="4">
        <f>Table1[[#This Row],[Revenue]]-(Table1[[#This Row],[Revenue]]*Table1[[#This Row],[Discount]]/100)</f>
        <v>318960.59999999998</v>
      </c>
    </row>
    <row r="1137" spans="1:12" x14ac:dyDescent="0.55000000000000004">
      <c r="A1137" t="s">
        <v>1166</v>
      </c>
      <c r="B1137" s="2">
        <v>45103</v>
      </c>
      <c r="C1137" t="s">
        <v>19</v>
      </c>
      <c r="D1137" t="s">
        <v>27</v>
      </c>
      <c r="E1137" t="s">
        <v>11</v>
      </c>
      <c r="F1137" t="s">
        <v>34</v>
      </c>
      <c r="G1137">
        <v>35846</v>
      </c>
      <c r="H1137">
        <v>1</v>
      </c>
      <c r="I1137">
        <v>25</v>
      </c>
      <c r="J1137" t="s">
        <v>13</v>
      </c>
      <c r="K1137" s="4">
        <f>Table1[[#This Row],[Sales]]*Table1[[#This Row],[Quantity]]</f>
        <v>35846</v>
      </c>
      <c r="L1137" s="4">
        <f>Table1[[#This Row],[Revenue]]-(Table1[[#This Row],[Revenue]]*Table1[[#This Row],[Discount]]/100)</f>
        <v>26884.5</v>
      </c>
    </row>
    <row r="1138" spans="1:12" x14ac:dyDescent="0.55000000000000004">
      <c r="A1138" t="s">
        <v>1167</v>
      </c>
      <c r="B1138" s="2">
        <v>45175</v>
      </c>
      <c r="C1138" t="s">
        <v>19</v>
      </c>
      <c r="D1138" t="s">
        <v>20</v>
      </c>
      <c r="E1138" t="s">
        <v>11</v>
      </c>
      <c r="F1138" t="s">
        <v>48</v>
      </c>
      <c r="G1138">
        <v>2583</v>
      </c>
      <c r="H1138">
        <v>10</v>
      </c>
      <c r="I1138">
        <v>4</v>
      </c>
      <c r="J1138" t="s">
        <v>25</v>
      </c>
      <c r="K1138" s="4">
        <f>Table1[[#This Row],[Sales]]*Table1[[#This Row],[Quantity]]</f>
        <v>25830</v>
      </c>
      <c r="L1138" s="4">
        <f>Table1[[#This Row],[Revenue]]-(Table1[[#This Row],[Revenue]]*Table1[[#This Row],[Discount]]/100)</f>
        <v>24796.799999999999</v>
      </c>
    </row>
    <row r="1139" spans="1:12" x14ac:dyDescent="0.55000000000000004">
      <c r="A1139" t="s">
        <v>1168</v>
      </c>
      <c r="B1139" s="2">
        <v>45165</v>
      </c>
      <c r="C1139" t="s">
        <v>19</v>
      </c>
      <c r="D1139" t="s">
        <v>46</v>
      </c>
      <c r="E1139" t="s">
        <v>11</v>
      </c>
      <c r="F1139" t="s">
        <v>44</v>
      </c>
      <c r="G1139">
        <v>3253</v>
      </c>
      <c r="H1139">
        <v>8</v>
      </c>
      <c r="I1139">
        <v>17</v>
      </c>
      <c r="J1139" t="s">
        <v>22</v>
      </c>
      <c r="K1139" s="4">
        <f>Table1[[#This Row],[Sales]]*Table1[[#This Row],[Quantity]]</f>
        <v>26024</v>
      </c>
      <c r="L1139" s="4">
        <f>Table1[[#This Row],[Revenue]]-(Table1[[#This Row],[Revenue]]*Table1[[#This Row],[Discount]]/100)</f>
        <v>21599.919999999998</v>
      </c>
    </row>
    <row r="1140" spans="1:12" x14ac:dyDescent="0.55000000000000004">
      <c r="A1140" t="s">
        <v>1169</v>
      </c>
      <c r="B1140" s="2">
        <v>45097</v>
      </c>
      <c r="C1140" t="s">
        <v>24</v>
      </c>
      <c r="D1140" t="s">
        <v>16</v>
      </c>
      <c r="E1140" t="s">
        <v>11</v>
      </c>
      <c r="F1140" t="s">
        <v>34</v>
      </c>
      <c r="G1140">
        <v>4996</v>
      </c>
      <c r="H1140">
        <v>1</v>
      </c>
      <c r="I1140">
        <v>12</v>
      </c>
      <c r="J1140" t="s">
        <v>13</v>
      </c>
      <c r="K1140" s="4">
        <f>Table1[[#This Row],[Sales]]*Table1[[#This Row],[Quantity]]</f>
        <v>4996</v>
      </c>
      <c r="L1140" s="4">
        <f>Table1[[#This Row],[Revenue]]-(Table1[[#This Row],[Revenue]]*Table1[[#This Row],[Discount]]/100)</f>
        <v>4396.4799999999996</v>
      </c>
    </row>
    <row r="1141" spans="1:12" x14ac:dyDescent="0.55000000000000004">
      <c r="A1141" t="s">
        <v>1170</v>
      </c>
      <c r="B1141" s="2">
        <v>45057</v>
      </c>
      <c r="C1141" t="s">
        <v>15</v>
      </c>
      <c r="D1141" t="s">
        <v>37</v>
      </c>
      <c r="E1141" t="s">
        <v>11</v>
      </c>
      <c r="F1141" t="s">
        <v>29</v>
      </c>
      <c r="G1141">
        <v>47884</v>
      </c>
      <c r="H1141">
        <v>10</v>
      </c>
      <c r="I1141">
        <v>13</v>
      </c>
      <c r="J1141" t="s">
        <v>25</v>
      </c>
      <c r="K1141" s="4">
        <f>Table1[[#This Row],[Sales]]*Table1[[#This Row],[Quantity]]</f>
        <v>478840</v>
      </c>
      <c r="L1141" s="4">
        <f>Table1[[#This Row],[Revenue]]-(Table1[[#This Row],[Revenue]]*Table1[[#This Row],[Discount]]/100)</f>
        <v>416590.8</v>
      </c>
    </row>
    <row r="1142" spans="1:12" x14ac:dyDescent="0.55000000000000004">
      <c r="A1142" t="s">
        <v>1171</v>
      </c>
      <c r="B1142" s="2">
        <v>45115</v>
      </c>
      <c r="C1142" t="s">
        <v>24</v>
      </c>
      <c r="D1142" t="s">
        <v>27</v>
      </c>
      <c r="E1142" t="s">
        <v>11</v>
      </c>
      <c r="F1142" t="s">
        <v>48</v>
      </c>
      <c r="G1142">
        <v>10344</v>
      </c>
      <c r="H1142">
        <v>6</v>
      </c>
      <c r="I1142">
        <v>18</v>
      </c>
      <c r="J1142" t="s">
        <v>25</v>
      </c>
      <c r="K1142" s="4">
        <f>Table1[[#This Row],[Sales]]*Table1[[#This Row],[Quantity]]</f>
        <v>62064</v>
      </c>
      <c r="L1142" s="4">
        <f>Table1[[#This Row],[Revenue]]-(Table1[[#This Row],[Revenue]]*Table1[[#This Row],[Discount]]/100)</f>
        <v>50892.479999999996</v>
      </c>
    </row>
    <row r="1143" spans="1:12" x14ac:dyDescent="0.55000000000000004">
      <c r="A1143" t="s">
        <v>1172</v>
      </c>
      <c r="B1143" s="2">
        <v>44956</v>
      </c>
      <c r="C1143" t="s">
        <v>24</v>
      </c>
      <c r="D1143" t="s">
        <v>27</v>
      </c>
      <c r="E1143" t="s">
        <v>11</v>
      </c>
      <c r="F1143" t="s">
        <v>48</v>
      </c>
      <c r="G1143">
        <v>22666</v>
      </c>
      <c r="H1143">
        <v>3</v>
      </c>
      <c r="I1143">
        <v>27</v>
      </c>
      <c r="J1143" t="s">
        <v>22</v>
      </c>
      <c r="K1143" s="4">
        <f>Table1[[#This Row],[Sales]]*Table1[[#This Row],[Quantity]]</f>
        <v>67998</v>
      </c>
      <c r="L1143" s="4">
        <f>Table1[[#This Row],[Revenue]]-(Table1[[#This Row],[Revenue]]*Table1[[#This Row],[Discount]]/100)</f>
        <v>49638.54</v>
      </c>
    </row>
    <row r="1144" spans="1:12" x14ac:dyDescent="0.55000000000000004">
      <c r="A1144" t="s">
        <v>1173</v>
      </c>
      <c r="B1144" s="2">
        <v>44964</v>
      </c>
      <c r="C1144" t="s">
        <v>15</v>
      </c>
      <c r="D1144" t="s">
        <v>27</v>
      </c>
      <c r="E1144" t="s">
        <v>11</v>
      </c>
      <c r="F1144" t="s">
        <v>12</v>
      </c>
      <c r="G1144">
        <v>24083</v>
      </c>
      <c r="H1144">
        <v>9</v>
      </c>
      <c r="I1144">
        <v>11</v>
      </c>
      <c r="J1144" t="s">
        <v>22</v>
      </c>
      <c r="K1144" s="4">
        <f>Table1[[#This Row],[Sales]]*Table1[[#This Row],[Quantity]]</f>
        <v>216747</v>
      </c>
      <c r="L1144" s="4">
        <f>Table1[[#This Row],[Revenue]]-(Table1[[#This Row],[Revenue]]*Table1[[#This Row],[Discount]]/100)</f>
        <v>192904.83000000002</v>
      </c>
    </row>
    <row r="1145" spans="1:12" x14ac:dyDescent="0.55000000000000004">
      <c r="A1145" t="s">
        <v>1174</v>
      </c>
      <c r="B1145" s="2">
        <v>45140</v>
      </c>
      <c r="C1145" t="s">
        <v>19</v>
      </c>
      <c r="D1145" t="s">
        <v>16</v>
      </c>
      <c r="E1145" t="s">
        <v>11</v>
      </c>
      <c r="F1145" t="s">
        <v>44</v>
      </c>
      <c r="G1145">
        <v>7397</v>
      </c>
      <c r="H1145">
        <v>2</v>
      </c>
      <c r="I1145">
        <v>3</v>
      </c>
      <c r="J1145" t="s">
        <v>13</v>
      </c>
      <c r="K1145" s="4">
        <f>Table1[[#This Row],[Sales]]*Table1[[#This Row],[Quantity]]</f>
        <v>14794</v>
      </c>
      <c r="L1145" s="4">
        <f>Table1[[#This Row],[Revenue]]-(Table1[[#This Row],[Revenue]]*Table1[[#This Row],[Discount]]/100)</f>
        <v>14350.18</v>
      </c>
    </row>
    <row r="1146" spans="1:12" x14ac:dyDescent="0.55000000000000004">
      <c r="A1146" t="s">
        <v>1175</v>
      </c>
      <c r="B1146" s="2">
        <v>45223</v>
      </c>
      <c r="C1146" t="s">
        <v>15</v>
      </c>
      <c r="D1146" t="s">
        <v>16</v>
      </c>
      <c r="E1146" t="s">
        <v>17</v>
      </c>
      <c r="F1146" t="s">
        <v>21</v>
      </c>
      <c r="G1146">
        <v>40832</v>
      </c>
      <c r="H1146">
        <v>7</v>
      </c>
      <c r="I1146">
        <v>6</v>
      </c>
      <c r="J1146" t="s">
        <v>25</v>
      </c>
      <c r="K1146" s="4">
        <f>Table1[[#This Row],[Sales]]*Table1[[#This Row],[Quantity]]</f>
        <v>285824</v>
      </c>
      <c r="L1146" s="4">
        <f>Table1[[#This Row],[Revenue]]-(Table1[[#This Row],[Revenue]]*Table1[[#This Row],[Discount]]/100)</f>
        <v>268674.56</v>
      </c>
    </row>
    <row r="1147" spans="1:12" x14ac:dyDescent="0.55000000000000004">
      <c r="A1147" t="s">
        <v>1176</v>
      </c>
      <c r="B1147" s="2">
        <v>45255</v>
      </c>
      <c r="C1147" t="s">
        <v>15</v>
      </c>
      <c r="D1147" t="s">
        <v>37</v>
      </c>
      <c r="E1147" t="s">
        <v>11</v>
      </c>
      <c r="F1147" t="s">
        <v>12</v>
      </c>
      <c r="G1147">
        <v>22069</v>
      </c>
      <c r="H1147">
        <v>1</v>
      </c>
      <c r="I1147">
        <v>1</v>
      </c>
      <c r="J1147" t="s">
        <v>25</v>
      </c>
      <c r="K1147" s="4">
        <f>Table1[[#This Row],[Sales]]*Table1[[#This Row],[Quantity]]</f>
        <v>22069</v>
      </c>
      <c r="L1147" s="4">
        <f>Table1[[#This Row],[Revenue]]-(Table1[[#This Row],[Revenue]]*Table1[[#This Row],[Discount]]/100)</f>
        <v>21848.31</v>
      </c>
    </row>
    <row r="1148" spans="1:12" x14ac:dyDescent="0.55000000000000004">
      <c r="A1148" t="s">
        <v>1177</v>
      </c>
      <c r="B1148" s="2">
        <v>45170</v>
      </c>
      <c r="C1148" t="s">
        <v>19</v>
      </c>
      <c r="D1148" t="s">
        <v>20</v>
      </c>
      <c r="E1148" t="s">
        <v>17</v>
      </c>
      <c r="F1148" t="s">
        <v>38</v>
      </c>
      <c r="G1148">
        <v>10754</v>
      </c>
      <c r="H1148">
        <v>10</v>
      </c>
      <c r="I1148">
        <v>1</v>
      </c>
      <c r="J1148" t="s">
        <v>22</v>
      </c>
      <c r="K1148" s="4">
        <f>Table1[[#This Row],[Sales]]*Table1[[#This Row],[Quantity]]</f>
        <v>107540</v>
      </c>
      <c r="L1148" s="4">
        <f>Table1[[#This Row],[Revenue]]-(Table1[[#This Row],[Revenue]]*Table1[[#This Row],[Discount]]/100)</f>
        <v>106464.6</v>
      </c>
    </row>
    <row r="1149" spans="1:12" x14ac:dyDescent="0.55000000000000004">
      <c r="A1149" t="s">
        <v>1178</v>
      </c>
      <c r="B1149" s="2">
        <v>44962</v>
      </c>
      <c r="C1149" t="s">
        <v>15</v>
      </c>
      <c r="D1149" t="s">
        <v>20</v>
      </c>
      <c r="E1149" t="s">
        <v>17</v>
      </c>
      <c r="F1149" t="s">
        <v>21</v>
      </c>
      <c r="G1149">
        <v>1417</v>
      </c>
      <c r="H1149">
        <v>4</v>
      </c>
      <c r="I1149">
        <v>5</v>
      </c>
      <c r="J1149" t="s">
        <v>22</v>
      </c>
      <c r="K1149" s="4">
        <f>Table1[[#This Row],[Sales]]*Table1[[#This Row],[Quantity]]</f>
        <v>5668</v>
      </c>
      <c r="L1149" s="4">
        <f>Table1[[#This Row],[Revenue]]-(Table1[[#This Row],[Revenue]]*Table1[[#This Row],[Discount]]/100)</f>
        <v>5384.6</v>
      </c>
    </row>
    <row r="1150" spans="1:12" x14ac:dyDescent="0.55000000000000004">
      <c r="A1150" t="s">
        <v>1179</v>
      </c>
      <c r="B1150" s="2">
        <v>45230</v>
      </c>
      <c r="C1150" t="s">
        <v>19</v>
      </c>
      <c r="D1150" t="s">
        <v>37</v>
      </c>
      <c r="E1150" t="s">
        <v>17</v>
      </c>
      <c r="F1150" t="s">
        <v>48</v>
      </c>
      <c r="G1150">
        <v>13835</v>
      </c>
      <c r="H1150">
        <v>9</v>
      </c>
      <c r="I1150">
        <v>8</v>
      </c>
      <c r="J1150" t="s">
        <v>25</v>
      </c>
      <c r="K1150" s="4">
        <f>Table1[[#This Row],[Sales]]*Table1[[#This Row],[Quantity]]</f>
        <v>124515</v>
      </c>
      <c r="L1150" s="4">
        <f>Table1[[#This Row],[Revenue]]-(Table1[[#This Row],[Revenue]]*Table1[[#This Row],[Discount]]/100)</f>
        <v>114553.8</v>
      </c>
    </row>
    <row r="1151" spans="1:12" x14ac:dyDescent="0.55000000000000004">
      <c r="A1151" t="s">
        <v>1180</v>
      </c>
      <c r="B1151" s="2">
        <v>45148</v>
      </c>
      <c r="C1151" t="s">
        <v>19</v>
      </c>
      <c r="D1151" t="s">
        <v>37</v>
      </c>
      <c r="E1151" t="s">
        <v>11</v>
      </c>
      <c r="F1151" t="s">
        <v>38</v>
      </c>
      <c r="G1151">
        <v>34390</v>
      </c>
      <c r="H1151">
        <v>7</v>
      </c>
      <c r="I1151">
        <v>30</v>
      </c>
      <c r="J1151" t="s">
        <v>13</v>
      </c>
      <c r="K1151" s="4">
        <f>Table1[[#This Row],[Sales]]*Table1[[#This Row],[Quantity]]</f>
        <v>240730</v>
      </c>
      <c r="L1151" s="4">
        <f>Table1[[#This Row],[Revenue]]-(Table1[[#This Row],[Revenue]]*Table1[[#This Row],[Discount]]/100)</f>
        <v>168511</v>
      </c>
    </row>
    <row r="1152" spans="1:12" x14ac:dyDescent="0.55000000000000004">
      <c r="A1152" t="s">
        <v>1181</v>
      </c>
      <c r="B1152" s="2">
        <v>45073</v>
      </c>
      <c r="C1152" t="s">
        <v>31</v>
      </c>
      <c r="D1152" t="s">
        <v>16</v>
      </c>
      <c r="E1152" t="s">
        <v>17</v>
      </c>
      <c r="F1152" t="s">
        <v>48</v>
      </c>
      <c r="G1152">
        <v>3845</v>
      </c>
      <c r="H1152">
        <v>7</v>
      </c>
      <c r="I1152">
        <v>0</v>
      </c>
      <c r="J1152" t="s">
        <v>13</v>
      </c>
      <c r="K1152" s="4">
        <f>Table1[[#This Row],[Sales]]*Table1[[#This Row],[Quantity]]</f>
        <v>26915</v>
      </c>
      <c r="L1152" s="4">
        <f>Table1[[#This Row],[Revenue]]-(Table1[[#This Row],[Revenue]]*Table1[[#This Row],[Discount]]/100)</f>
        <v>26915</v>
      </c>
    </row>
    <row r="1153" spans="1:12" x14ac:dyDescent="0.55000000000000004">
      <c r="A1153" t="s">
        <v>1182</v>
      </c>
      <c r="B1153" s="2">
        <v>45102</v>
      </c>
      <c r="C1153" t="s">
        <v>19</v>
      </c>
      <c r="D1153" t="s">
        <v>16</v>
      </c>
      <c r="E1153" t="s">
        <v>17</v>
      </c>
      <c r="F1153" t="s">
        <v>44</v>
      </c>
      <c r="G1153">
        <v>42017</v>
      </c>
      <c r="H1153">
        <v>9</v>
      </c>
      <c r="I1153">
        <v>7</v>
      </c>
      <c r="J1153" t="s">
        <v>25</v>
      </c>
      <c r="K1153" s="4">
        <f>Table1[[#This Row],[Sales]]*Table1[[#This Row],[Quantity]]</f>
        <v>378153</v>
      </c>
      <c r="L1153" s="4">
        <f>Table1[[#This Row],[Revenue]]-(Table1[[#This Row],[Revenue]]*Table1[[#This Row],[Discount]]/100)</f>
        <v>351682.29</v>
      </c>
    </row>
    <row r="1154" spans="1:12" x14ac:dyDescent="0.55000000000000004">
      <c r="A1154" t="s">
        <v>1183</v>
      </c>
      <c r="B1154" s="2">
        <v>45037</v>
      </c>
      <c r="C1154" t="s">
        <v>31</v>
      </c>
      <c r="D1154" t="s">
        <v>46</v>
      </c>
      <c r="E1154" t="s">
        <v>11</v>
      </c>
      <c r="F1154" t="s">
        <v>34</v>
      </c>
      <c r="G1154">
        <v>31446</v>
      </c>
      <c r="H1154">
        <v>6</v>
      </c>
      <c r="I1154">
        <v>15</v>
      </c>
      <c r="J1154" t="s">
        <v>13</v>
      </c>
      <c r="K1154" s="4">
        <f>Table1[[#This Row],[Sales]]*Table1[[#This Row],[Quantity]]</f>
        <v>188676</v>
      </c>
      <c r="L1154" s="4">
        <f>Table1[[#This Row],[Revenue]]-(Table1[[#This Row],[Revenue]]*Table1[[#This Row],[Discount]]/100)</f>
        <v>160374.6</v>
      </c>
    </row>
    <row r="1155" spans="1:12" x14ac:dyDescent="0.55000000000000004">
      <c r="A1155" t="s">
        <v>1184</v>
      </c>
      <c r="B1155" s="2">
        <v>45022</v>
      </c>
      <c r="C1155" t="s">
        <v>15</v>
      </c>
      <c r="D1155" t="s">
        <v>27</v>
      </c>
      <c r="E1155" t="s">
        <v>11</v>
      </c>
      <c r="F1155" t="s">
        <v>34</v>
      </c>
      <c r="G1155">
        <v>18324</v>
      </c>
      <c r="H1155">
        <v>6</v>
      </c>
      <c r="I1155">
        <v>26</v>
      </c>
      <c r="J1155" t="s">
        <v>25</v>
      </c>
      <c r="K1155" s="4">
        <f>Table1[[#This Row],[Sales]]*Table1[[#This Row],[Quantity]]</f>
        <v>109944</v>
      </c>
      <c r="L1155" s="4">
        <f>Table1[[#This Row],[Revenue]]-(Table1[[#This Row],[Revenue]]*Table1[[#This Row],[Discount]]/100)</f>
        <v>81358.559999999998</v>
      </c>
    </row>
    <row r="1156" spans="1:12" x14ac:dyDescent="0.55000000000000004">
      <c r="A1156" t="s">
        <v>1185</v>
      </c>
      <c r="B1156" s="2">
        <v>45253</v>
      </c>
      <c r="C1156" t="s">
        <v>15</v>
      </c>
      <c r="D1156" t="s">
        <v>16</v>
      </c>
      <c r="E1156" t="s">
        <v>17</v>
      </c>
      <c r="F1156" t="s">
        <v>44</v>
      </c>
      <c r="G1156">
        <v>26882</v>
      </c>
      <c r="H1156">
        <v>10</v>
      </c>
      <c r="I1156">
        <v>17</v>
      </c>
      <c r="J1156" t="s">
        <v>13</v>
      </c>
      <c r="K1156" s="4">
        <f>Table1[[#This Row],[Sales]]*Table1[[#This Row],[Quantity]]</f>
        <v>268820</v>
      </c>
      <c r="L1156" s="4">
        <f>Table1[[#This Row],[Revenue]]-(Table1[[#This Row],[Revenue]]*Table1[[#This Row],[Discount]]/100)</f>
        <v>223120.6</v>
      </c>
    </row>
    <row r="1157" spans="1:12" x14ac:dyDescent="0.55000000000000004">
      <c r="A1157" t="s">
        <v>1186</v>
      </c>
      <c r="B1157" s="2">
        <v>44999</v>
      </c>
      <c r="C1157" t="s">
        <v>15</v>
      </c>
      <c r="D1157" t="s">
        <v>27</v>
      </c>
      <c r="E1157" t="s">
        <v>11</v>
      </c>
      <c r="F1157" t="s">
        <v>12</v>
      </c>
      <c r="G1157">
        <v>4482</v>
      </c>
      <c r="H1157">
        <v>5</v>
      </c>
      <c r="I1157">
        <v>25</v>
      </c>
      <c r="J1157" t="s">
        <v>25</v>
      </c>
      <c r="K1157" s="4">
        <f>Table1[[#This Row],[Sales]]*Table1[[#This Row],[Quantity]]</f>
        <v>22410</v>
      </c>
      <c r="L1157" s="4">
        <f>Table1[[#This Row],[Revenue]]-(Table1[[#This Row],[Revenue]]*Table1[[#This Row],[Discount]]/100)</f>
        <v>16807.5</v>
      </c>
    </row>
    <row r="1158" spans="1:12" x14ac:dyDescent="0.55000000000000004">
      <c r="A1158" t="s">
        <v>1187</v>
      </c>
      <c r="B1158" s="2">
        <v>44977</v>
      </c>
      <c r="C1158" t="s">
        <v>24</v>
      </c>
      <c r="D1158" t="s">
        <v>20</v>
      </c>
      <c r="E1158" t="s">
        <v>11</v>
      </c>
      <c r="F1158" t="s">
        <v>12</v>
      </c>
      <c r="G1158">
        <v>6203</v>
      </c>
      <c r="H1158">
        <v>3</v>
      </c>
      <c r="I1158">
        <v>14</v>
      </c>
      <c r="J1158" t="s">
        <v>22</v>
      </c>
      <c r="K1158" s="4">
        <f>Table1[[#This Row],[Sales]]*Table1[[#This Row],[Quantity]]</f>
        <v>18609</v>
      </c>
      <c r="L1158" s="4">
        <f>Table1[[#This Row],[Revenue]]-(Table1[[#This Row],[Revenue]]*Table1[[#This Row],[Discount]]/100)</f>
        <v>16003.74</v>
      </c>
    </row>
    <row r="1159" spans="1:12" x14ac:dyDescent="0.55000000000000004">
      <c r="A1159" t="s">
        <v>1188</v>
      </c>
      <c r="B1159" s="2">
        <v>45092</v>
      </c>
      <c r="C1159" t="s">
        <v>19</v>
      </c>
      <c r="D1159" t="s">
        <v>16</v>
      </c>
      <c r="E1159" t="s">
        <v>17</v>
      </c>
      <c r="F1159" t="s">
        <v>44</v>
      </c>
      <c r="G1159">
        <v>28650</v>
      </c>
      <c r="H1159">
        <v>10</v>
      </c>
      <c r="I1159">
        <v>13</v>
      </c>
      <c r="J1159" t="s">
        <v>25</v>
      </c>
      <c r="K1159" s="4">
        <f>Table1[[#This Row],[Sales]]*Table1[[#This Row],[Quantity]]</f>
        <v>286500</v>
      </c>
      <c r="L1159" s="4">
        <f>Table1[[#This Row],[Revenue]]-(Table1[[#This Row],[Revenue]]*Table1[[#This Row],[Discount]]/100)</f>
        <v>249255</v>
      </c>
    </row>
    <row r="1160" spans="1:12" x14ac:dyDescent="0.55000000000000004">
      <c r="A1160" t="s">
        <v>1189</v>
      </c>
      <c r="B1160" s="2">
        <v>45275</v>
      </c>
      <c r="C1160" t="s">
        <v>15</v>
      </c>
      <c r="D1160" t="s">
        <v>46</v>
      </c>
      <c r="E1160" t="s">
        <v>11</v>
      </c>
      <c r="F1160" t="s">
        <v>38</v>
      </c>
      <c r="G1160">
        <v>32962</v>
      </c>
      <c r="H1160">
        <v>2</v>
      </c>
      <c r="I1160">
        <v>15</v>
      </c>
      <c r="J1160" t="s">
        <v>13</v>
      </c>
      <c r="K1160" s="4">
        <f>Table1[[#This Row],[Sales]]*Table1[[#This Row],[Quantity]]</f>
        <v>65924</v>
      </c>
      <c r="L1160" s="4">
        <f>Table1[[#This Row],[Revenue]]-(Table1[[#This Row],[Revenue]]*Table1[[#This Row],[Discount]]/100)</f>
        <v>56035.4</v>
      </c>
    </row>
    <row r="1161" spans="1:12" x14ac:dyDescent="0.55000000000000004">
      <c r="A1161" t="s">
        <v>1190</v>
      </c>
      <c r="B1161" s="2">
        <v>44998</v>
      </c>
      <c r="C1161" t="s">
        <v>15</v>
      </c>
      <c r="D1161" t="s">
        <v>20</v>
      </c>
      <c r="E1161" t="s">
        <v>17</v>
      </c>
      <c r="F1161" t="s">
        <v>29</v>
      </c>
      <c r="G1161">
        <v>14886</v>
      </c>
      <c r="H1161">
        <v>7</v>
      </c>
      <c r="I1161">
        <v>9</v>
      </c>
      <c r="J1161" t="s">
        <v>25</v>
      </c>
      <c r="K1161" s="4">
        <f>Table1[[#This Row],[Sales]]*Table1[[#This Row],[Quantity]]</f>
        <v>104202</v>
      </c>
      <c r="L1161" s="4">
        <f>Table1[[#This Row],[Revenue]]-(Table1[[#This Row],[Revenue]]*Table1[[#This Row],[Discount]]/100)</f>
        <v>94823.82</v>
      </c>
    </row>
    <row r="1162" spans="1:12" x14ac:dyDescent="0.55000000000000004">
      <c r="A1162" t="s">
        <v>1191</v>
      </c>
      <c r="B1162" s="2">
        <v>45132</v>
      </c>
      <c r="C1162" t="s">
        <v>24</v>
      </c>
      <c r="D1162" t="s">
        <v>16</v>
      </c>
      <c r="E1162" t="s">
        <v>17</v>
      </c>
      <c r="F1162" t="s">
        <v>38</v>
      </c>
      <c r="G1162">
        <v>24050</v>
      </c>
      <c r="H1162">
        <v>7</v>
      </c>
      <c r="I1162">
        <v>12</v>
      </c>
      <c r="J1162" t="s">
        <v>22</v>
      </c>
      <c r="K1162" s="4">
        <f>Table1[[#This Row],[Sales]]*Table1[[#This Row],[Quantity]]</f>
        <v>168350</v>
      </c>
      <c r="L1162" s="4">
        <f>Table1[[#This Row],[Revenue]]-(Table1[[#This Row],[Revenue]]*Table1[[#This Row],[Discount]]/100)</f>
        <v>148148</v>
      </c>
    </row>
    <row r="1163" spans="1:12" x14ac:dyDescent="0.55000000000000004">
      <c r="A1163" t="s">
        <v>1192</v>
      </c>
      <c r="B1163" s="2">
        <v>45032</v>
      </c>
      <c r="C1163" t="s">
        <v>15</v>
      </c>
      <c r="D1163" t="s">
        <v>46</v>
      </c>
      <c r="E1163" t="s">
        <v>11</v>
      </c>
      <c r="F1163" t="s">
        <v>38</v>
      </c>
      <c r="G1163">
        <v>48392</v>
      </c>
      <c r="H1163">
        <v>10</v>
      </c>
      <c r="I1163">
        <v>11</v>
      </c>
      <c r="J1163" t="s">
        <v>13</v>
      </c>
      <c r="K1163" s="4">
        <f>Table1[[#This Row],[Sales]]*Table1[[#This Row],[Quantity]]</f>
        <v>483920</v>
      </c>
      <c r="L1163" s="4">
        <f>Table1[[#This Row],[Revenue]]-(Table1[[#This Row],[Revenue]]*Table1[[#This Row],[Discount]]/100)</f>
        <v>430688.8</v>
      </c>
    </row>
    <row r="1164" spans="1:12" x14ac:dyDescent="0.55000000000000004">
      <c r="A1164" t="s">
        <v>1193</v>
      </c>
      <c r="B1164" s="2">
        <v>45164</v>
      </c>
      <c r="C1164" t="s">
        <v>15</v>
      </c>
      <c r="D1164" t="s">
        <v>16</v>
      </c>
      <c r="E1164" t="s">
        <v>17</v>
      </c>
      <c r="F1164" t="s">
        <v>12</v>
      </c>
      <c r="G1164">
        <v>47822</v>
      </c>
      <c r="H1164">
        <v>2</v>
      </c>
      <c r="I1164">
        <v>1</v>
      </c>
      <c r="J1164" t="s">
        <v>22</v>
      </c>
      <c r="K1164" s="4">
        <f>Table1[[#This Row],[Sales]]*Table1[[#This Row],[Quantity]]</f>
        <v>95644</v>
      </c>
      <c r="L1164" s="4">
        <f>Table1[[#This Row],[Revenue]]-(Table1[[#This Row],[Revenue]]*Table1[[#This Row],[Discount]]/100)</f>
        <v>94687.56</v>
      </c>
    </row>
    <row r="1165" spans="1:12" x14ac:dyDescent="0.55000000000000004">
      <c r="A1165" t="s">
        <v>1194</v>
      </c>
      <c r="B1165" s="2">
        <v>45196</v>
      </c>
      <c r="C1165" t="s">
        <v>19</v>
      </c>
      <c r="D1165" t="s">
        <v>27</v>
      </c>
      <c r="E1165" t="s">
        <v>17</v>
      </c>
      <c r="F1165" t="s">
        <v>21</v>
      </c>
      <c r="G1165">
        <v>24506</v>
      </c>
      <c r="H1165">
        <v>10</v>
      </c>
      <c r="I1165">
        <v>30</v>
      </c>
      <c r="J1165" t="s">
        <v>22</v>
      </c>
      <c r="K1165" s="4">
        <f>Table1[[#This Row],[Sales]]*Table1[[#This Row],[Quantity]]</f>
        <v>245060</v>
      </c>
      <c r="L1165" s="4">
        <f>Table1[[#This Row],[Revenue]]-(Table1[[#This Row],[Revenue]]*Table1[[#This Row],[Discount]]/100)</f>
        <v>171542</v>
      </c>
    </row>
    <row r="1166" spans="1:12" x14ac:dyDescent="0.55000000000000004">
      <c r="A1166" t="s">
        <v>1195</v>
      </c>
      <c r="B1166" s="2">
        <v>45182</v>
      </c>
      <c r="C1166" t="s">
        <v>24</v>
      </c>
      <c r="D1166" t="s">
        <v>16</v>
      </c>
      <c r="E1166" t="s">
        <v>11</v>
      </c>
      <c r="F1166" t="s">
        <v>34</v>
      </c>
      <c r="G1166">
        <v>46067</v>
      </c>
      <c r="H1166">
        <v>4</v>
      </c>
      <c r="I1166">
        <v>8</v>
      </c>
      <c r="J1166" t="s">
        <v>22</v>
      </c>
      <c r="K1166" s="4">
        <f>Table1[[#This Row],[Sales]]*Table1[[#This Row],[Quantity]]</f>
        <v>184268</v>
      </c>
      <c r="L1166" s="4">
        <f>Table1[[#This Row],[Revenue]]-(Table1[[#This Row],[Revenue]]*Table1[[#This Row],[Discount]]/100)</f>
        <v>169526.56</v>
      </c>
    </row>
    <row r="1167" spans="1:12" x14ac:dyDescent="0.55000000000000004">
      <c r="A1167" t="s">
        <v>1196</v>
      </c>
      <c r="B1167" s="2">
        <v>45138</v>
      </c>
      <c r="C1167" t="s">
        <v>31</v>
      </c>
      <c r="D1167" t="s">
        <v>16</v>
      </c>
      <c r="E1167" t="s">
        <v>11</v>
      </c>
      <c r="F1167" t="s">
        <v>34</v>
      </c>
      <c r="G1167">
        <v>33261</v>
      </c>
      <c r="H1167">
        <v>2</v>
      </c>
      <c r="I1167">
        <v>3</v>
      </c>
      <c r="J1167" t="s">
        <v>22</v>
      </c>
      <c r="K1167" s="4">
        <f>Table1[[#This Row],[Sales]]*Table1[[#This Row],[Quantity]]</f>
        <v>66522</v>
      </c>
      <c r="L1167" s="4">
        <f>Table1[[#This Row],[Revenue]]-(Table1[[#This Row],[Revenue]]*Table1[[#This Row],[Discount]]/100)</f>
        <v>64526.34</v>
      </c>
    </row>
    <row r="1168" spans="1:12" x14ac:dyDescent="0.55000000000000004">
      <c r="A1168" t="s">
        <v>1197</v>
      </c>
      <c r="B1168" s="2">
        <v>45054</v>
      </c>
      <c r="C1168" t="s">
        <v>19</v>
      </c>
      <c r="D1168" t="s">
        <v>46</v>
      </c>
      <c r="E1168" t="s">
        <v>17</v>
      </c>
      <c r="F1168" t="s">
        <v>12</v>
      </c>
      <c r="G1168">
        <v>25937</v>
      </c>
      <c r="H1168">
        <v>7</v>
      </c>
      <c r="I1168">
        <v>20</v>
      </c>
      <c r="J1168" t="s">
        <v>22</v>
      </c>
      <c r="K1168" s="4">
        <f>Table1[[#This Row],[Sales]]*Table1[[#This Row],[Quantity]]</f>
        <v>181559</v>
      </c>
      <c r="L1168" s="4">
        <f>Table1[[#This Row],[Revenue]]-(Table1[[#This Row],[Revenue]]*Table1[[#This Row],[Discount]]/100)</f>
        <v>145247.20000000001</v>
      </c>
    </row>
    <row r="1169" spans="1:12" x14ac:dyDescent="0.55000000000000004">
      <c r="A1169" t="s">
        <v>1198</v>
      </c>
      <c r="B1169" s="2">
        <v>45185</v>
      </c>
      <c r="C1169" t="s">
        <v>31</v>
      </c>
      <c r="D1169" t="s">
        <v>16</v>
      </c>
      <c r="E1169" t="s">
        <v>17</v>
      </c>
      <c r="F1169" t="s">
        <v>12</v>
      </c>
      <c r="G1169">
        <v>25102</v>
      </c>
      <c r="H1169">
        <v>5</v>
      </c>
      <c r="I1169">
        <v>29</v>
      </c>
      <c r="J1169" t="s">
        <v>22</v>
      </c>
      <c r="K1169" s="4">
        <f>Table1[[#This Row],[Sales]]*Table1[[#This Row],[Quantity]]</f>
        <v>125510</v>
      </c>
      <c r="L1169" s="4">
        <f>Table1[[#This Row],[Revenue]]-(Table1[[#This Row],[Revenue]]*Table1[[#This Row],[Discount]]/100)</f>
        <v>89112.1</v>
      </c>
    </row>
    <row r="1170" spans="1:12" x14ac:dyDescent="0.55000000000000004">
      <c r="A1170" t="s">
        <v>1199</v>
      </c>
      <c r="B1170" s="2">
        <v>45217</v>
      </c>
      <c r="C1170" t="s">
        <v>15</v>
      </c>
      <c r="D1170" t="s">
        <v>27</v>
      </c>
      <c r="E1170" t="s">
        <v>17</v>
      </c>
      <c r="F1170" t="s">
        <v>34</v>
      </c>
      <c r="G1170">
        <v>12552</v>
      </c>
      <c r="H1170">
        <v>5</v>
      </c>
      <c r="I1170">
        <v>10</v>
      </c>
      <c r="J1170" t="s">
        <v>13</v>
      </c>
      <c r="K1170" s="4">
        <f>Table1[[#This Row],[Sales]]*Table1[[#This Row],[Quantity]]</f>
        <v>62760</v>
      </c>
      <c r="L1170" s="4">
        <f>Table1[[#This Row],[Revenue]]-(Table1[[#This Row],[Revenue]]*Table1[[#This Row],[Discount]]/100)</f>
        <v>56484</v>
      </c>
    </row>
    <row r="1171" spans="1:12" x14ac:dyDescent="0.55000000000000004">
      <c r="A1171" t="s">
        <v>1200</v>
      </c>
      <c r="B1171" s="2">
        <v>44964</v>
      </c>
      <c r="C1171" t="s">
        <v>31</v>
      </c>
      <c r="D1171" t="s">
        <v>46</v>
      </c>
      <c r="E1171" t="s">
        <v>11</v>
      </c>
      <c r="F1171" t="s">
        <v>21</v>
      </c>
      <c r="G1171">
        <v>41764</v>
      </c>
      <c r="H1171">
        <v>2</v>
      </c>
      <c r="I1171">
        <v>1</v>
      </c>
      <c r="J1171" t="s">
        <v>25</v>
      </c>
      <c r="K1171" s="4">
        <f>Table1[[#This Row],[Sales]]*Table1[[#This Row],[Quantity]]</f>
        <v>83528</v>
      </c>
      <c r="L1171" s="4">
        <f>Table1[[#This Row],[Revenue]]-(Table1[[#This Row],[Revenue]]*Table1[[#This Row],[Discount]]/100)</f>
        <v>82692.72</v>
      </c>
    </row>
    <row r="1172" spans="1:12" x14ac:dyDescent="0.55000000000000004">
      <c r="A1172" t="s">
        <v>1201</v>
      </c>
      <c r="B1172" s="2">
        <v>45282</v>
      </c>
      <c r="C1172" t="s">
        <v>19</v>
      </c>
      <c r="D1172" t="s">
        <v>37</v>
      </c>
      <c r="E1172" t="s">
        <v>11</v>
      </c>
      <c r="F1172" t="s">
        <v>29</v>
      </c>
      <c r="G1172">
        <v>25706</v>
      </c>
      <c r="H1172">
        <v>1</v>
      </c>
      <c r="I1172">
        <v>7</v>
      </c>
      <c r="J1172" t="s">
        <v>22</v>
      </c>
      <c r="K1172" s="4">
        <f>Table1[[#This Row],[Sales]]*Table1[[#This Row],[Quantity]]</f>
        <v>25706</v>
      </c>
      <c r="L1172" s="4">
        <f>Table1[[#This Row],[Revenue]]-(Table1[[#This Row],[Revenue]]*Table1[[#This Row],[Discount]]/100)</f>
        <v>23906.58</v>
      </c>
    </row>
    <row r="1173" spans="1:12" x14ac:dyDescent="0.55000000000000004">
      <c r="A1173" t="s">
        <v>1202</v>
      </c>
      <c r="B1173" s="2">
        <v>45025</v>
      </c>
      <c r="C1173" t="s">
        <v>19</v>
      </c>
      <c r="D1173" t="s">
        <v>27</v>
      </c>
      <c r="E1173" t="s">
        <v>11</v>
      </c>
      <c r="F1173" t="s">
        <v>12</v>
      </c>
      <c r="G1173">
        <v>6014</v>
      </c>
      <c r="H1173">
        <v>6</v>
      </c>
      <c r="I1173">
        <v>19</v>
      </c>
      <c r="J1173" t="s">
        <v>22</v>
      </c>
      <c r="K1173" s="4">
        <f>Table1[[#This Row],[Sales]]*Table1[[#This Row],[Quantity]]</f>
        <v>36084</v>
      </c>
      <c r="L1173" s="4">
        <f>Table1[[#This Row],[Revenue]]-(Table1[[#This Row],[Revenue]]*Table1[[#This Row],[Discount]]/100)</f>
        <v>29228.04</v>
      </c>
    </row>
    <row r="1174" spans="1:12" x14ac:dyDescent="0.55000000000000004">
      <c r="A1174" t="s">
        <v>1203</v>
      </c>
      <c r="B1174" s="2">
        <v>45011</v>
      </c>
      <c r="C1174" t="s">
        <v>15</v>
      </c>
      <c r="D1174" t="s">
        <v>46</v>
      </c>
      <c r="E1174" t="s">
        <v>17</v>
      </c>
      <c r="F1174" t="s">
        <v>44</v>
      </c>
      <c r="G1174">
        <v>28305</v>
      </c>
      <c r="H1174">
        <v>9</v>
      </c>
      <c r="I1174">
        <v>14</v>
      </c>
      <c r="J1174" t="s">
        <v>13</v>
      </c>
      <c r="K1174" s="4">
        <f>Table1[[#This Row],[Sales]]*Table1[[#This Row],[Quantity]]</f>
        <v>254745</v>
      </c>
      <c r="L1174" s="4">
        <f>Table1[[#This Row],[Revenue]]-(Table1[[#This Row],[Revenue]]*Table1[[#This Row],[Discount]]/100)</f>
        <v>219080.7</v>
      </c>
    </row>
    <row r="1175" spans="1:12" x14ac:dyDescent="0.55000000000000004">
      <c r="A1175" t="s">
        <v>1204</v>
      </c>
      <c r="B1175" s="2">
        <v>45274</v>
      </c>
      <c r="C1175" t="s">
        <v>24</v>
      </c>
      <c r="D1175" t="s">
        <v>27</v>
      </c>
      <c r="E1175" t="s">
        <v>11</v>
      </c>
      <c r="F1175" t="s">
        <v>29</v>
      </c>
      <c r="G1175">
        <v>32012</v>
      </c>
      <c r="H1175">
        <v>7</v>
      </c>
      <c r="I1175">
        <v>22</v>
      </c>
      <c r="J1175" t="s">
        <v>25</v>
      </c>
      <c r="K1175" s="4">
        <f>Table1[[#This Row],[Sales]]*Table1[[#This Row],[Quantity]]</f>
        <v>224084</v>
      </c>
      <c r="L1175" s="4">
        <f>Table1[[#This Row],[Revenue]]-(Table1[[#This Row],[Revenue]]*Table1[[#This Row],[Discount]]/100)</f>
        <v>174785.52</v>
      </c>
    </row>
    <row r="1176" spans="1:12" x14ac:dyDescent="0.55000000000000004">
      <c r="A1176" t="s">
        <v>1205</v>
      </c>
      <c r="B1176" s="2">
        <v>45119</v>
      </c>
      <c r="C1176" t="s">
        <v>31</v>
      </c>
      <c r="D1176" t="s">
        <v>20</v>
      </c>
      <c r="E1176" t="s">
        <v>17</v>
      </c>
      <c r="F1176" t="s">
        <v>34</v>
      </c>
      <c r="G1176">
        <v>27939</v>
      </c>
      <c r="H1176">
        <v>4</v>
      </c>
      <c r="I1176">
        <v>21</v>
      </c>
      <c r="J1176" t="s">
        <v>22</v>
      </c>
      <c r="K1176" s="4">
        <f>Table1[[#This Row],[Sales]]*Table1[[#This Row],[Quantity]]</f>
        <v>111756</v>
      </c>
      <c r="L1176" s="4">
        <f>Table1[[#This Row],[Revenue]]-(Table1[[#This Row],[Revenue]]*Table1[[#This Row],[Discount]]/100)</f>
        <v>88287.24</v>
      </c>
    </row>
    <row r="1177" spans="1:12" x14ac:dyDescent="0.55000000000000004">
      <c r="A1177" t="s">
        <v>1206</v>
      </c>
      <c r="B1177" s="2">
        <v>45056</v>
      </c>
      <c r="C1177" t="s">
        <v>31</v>
      </c>
      <c r="D1177" t="s">
        <v>20</v>
      </c>
      <c r="E1177" t="s">
        <v>17</v>
      </c>
      <c r="F1177" t="s">
        <v>21</v>
      </c>
      <c r="G1177">
        <v>19009</v>
      </c>
      <c r="H1177">
        <v>1</v>
      </c>
      <c r="I1177">
        <v>14</v>
      </c>
      <c r="J1177" t="s">
        <v>25</v>
      </c>
      <c r="K1177" s="4">
        <f>Table1[[#This Row],[Sales]]*Table1[[#This Row],[Quantity]]</f>
        <v>19009</v>
      </c>
      <c r="L1177" s="4">
        <f>Table1[[#This Row],[Revenue]]-(Table1[[#This Row],[Revenue]]*Table1[[#This Row],[Discount]]/100)</f>
        <v>16347.74</v>
      </c>
    </row>
    <row r="1178" spans="1:12" x14ac:dyDescent="0.55000000000000004">
      <c r="A1178" t="s">
        <v>1207</v>
      </c>
      <c r="B1178" s="2">
        <v>45083</v>
      </c>
      <c r="C1178" t="s">
        <v>24</v>
      </c>
      <c r="D1178" t="s">
        <v>20</v>
      </c>
      <c r="E1178" t="s">
        <v>11</v>
      </c>
      <c r="F1178" t="s">
        <v>48</v>
      </c>
      <c r="G1178">
        <v>31472</v>
      </c>
      <c r="H1178">
        <v>9</v>
      </c>
      <c r="I1178">
        <v>13</v>
      </c>
      <c r="J1178" t="s">
        <v>22</v>
      </c>
      <c r="K1178" s="4">
        <f>Table1[[#This Row],[Sales]]*Table1[[#This Row],[Quantity]]</f>
        <v>283248</v>
      </c>
      <c r="L1178" s="4">
        <f>Table1[[#This Row],[Revenue]]-(Table1[[#This Row],[Revenue]]*Table1[[#This Row],[Discount]]/100)</f>
        <v>246425.76</v>
      </c>
    </row>
    <row r="1179" spans="1:12" x14ac:dyDescent="0.55000000000000004">
      <c r="A1179" t="s">
        <v>1208</v>
      </c>
      <c r="B1179" s="2">
        <v>45056</v>
      </c>
      <c r="C1179" t="s">
        <v>15</v>
      </c>
      <c r="D1179" t="s">
        <v>16</v>
      </c>
      <c r="E1179" t="s">
        <v>11</v>
      </c>
      <c r="F1179" t="s">
        <v>29</v>
      </c>
      <c r="G1179">
        <v>47830</v>
      </c>
      <c r="H1179">
        <v>4</v>
      </c>
      <c r="I1179">
        <v>20</v>
      </c>
      <c r="J1179" t="s">
        <v>13</v>
      </c>
      <c r="K1179" s="4">
        <f>Table1[[#This Row],[Sales]]*Table1[[#This Row],[Quantity]]</f>
        <v>191320</v>
      </c>
      <c r="L1179" s="4">
        <f>Table1[[#This Row],[Revenue]]-(Table1[[#This Row],[Revenue]]*Table1[[#This Row],[Discount]]/100)</f>
        <v>153056</v>
      </c>
    </row>
    <row r="1180" spans="1:12" x14ac:dyDescent="0.55000000000000004">
      <c r="A1180" t="s">
        <v>1209</v>
      </c>
      <c r="B1180" s="2">
        <v>45021</v>
      </c>
      <c r="C1180" t="s">
        <v>19</v>
      </c>
      <c r="D1180" t="s">
        <v>20</v>
      </c>
      <c r="E1180" t="s">
        <v>17</v>
      </c>
      <c r="F1180" t="s">
        <v>44</v>
      </c>
      <c r="G1180">
        <v>13671</v>
      </c>
      <c r="H1180">
        <v>7</v>
      </c>
      <c r="I1180">
        <v>4</v>
      </c>
      <c r="J1180" t="s">
        <v>25</v>
      </c>
      <c r="K1180" s="4">
        <f>Table1[[#This Row],[Sales]]*Table1[[#This Row],[Quantity]]</f>
        <v>95697</v>
      </c>
      <c r="L1180" s="4">
        <f>Table1[[#This Row],[Revenue]]-(Table1[[#This Row],[Revenue]]*Table1[[#This Row],[Discount]]/100)</f>
        <v>91869.119999999995</v>
      </c>
    </row>
    <row r="1181" spans="1:12" x14ac:dyDescent="0.55000000000000004">
      <c r="A1181" t="s">
        <v>1210</v>
      </c>
      <c r="B1181" s="2">
        <v>45259</v>
      </c>
      <c r="C1181" t="s">
        <v>15</v>
      </c>
      <c r="D1181" t="s">
        <v>37</v>
      </c>
      <c r="E1181" t="s">
        <v>17</v>
      </c>
      <c r="F1181" t="s">
        <v>38</v>
      </c>
      <c r="G1181">
        <v>24455</v>
      </c>
      <c r="H1181">
        <v>7</v>
      </c>
      <c r="I1181">
        <v>13</v>
      </c>
      <c r="J1181" t="s">
        <v>25</v>
      </c>
      <c r="K1181" s="4">
        <f>Table1[[#This Row],[Sales]]*Table1[[#This Row],[Quantity]]</f>
        <v>171185</v>
      </c>
      <c r="L1181" s="4">
        <f>Table1[[#This Row],[Revenue]]-(Table1[[#This Row],[Revenue]]*Table1[[#This Row],[Discount]]/100)</f>
        <v>148930.95000000001</v>
      </c>
    </row>
    <row r="1182" spans="1:12" x14ac:dyDescent="0.55000000000000004">
      <c r="A1182" t="s">
        <v>1211</v>
      </c>
      <c r="B1182" s="2">
        <v>45257</v>
      </c>
      <c r="C1182" t="s">
        <v>24</v>
      </c>
      <c r="D1182" t="s">
        <v>46</v>
      </c>
      <c r="E1182" t="s">
        <v>17</v>
      </c>
      <c r="F1182" t="s">
        <v>48</v>
      </c>
      <c r="G1182">
        <v>17589</v>
      </c>
      <c r="H1182">
        <v>6</v>
      </c>
      <c r="I1182">
        <v>13</v>
      </c>
      <c r="J1182" t="s">
        <v>22</v>
      </c>
      <c r="K1182" s="4">
        <f>Table1[[#This Row],[Sales]]*Table1[[#This Row],[Quantity]]</f>
        <v>105534</v>
      </c>
      <c r="L1182" s="4">
        <f>Table1[[#This Row],[Revenue]]-(Table1[[#This Row],[Revenue]]*Table1[[#This Row],[Discount]]/100)</f>
        <v>91814.58</v>
      </c>
    </row>
    <row r="1183" spans="1:12" x14ac:dyDescent="0.55000000000000004">
      <c r="A1183" t="s">
        <v>1212</v>
      </c>
      <c r="B1183" s="2">
        <v>45102</v>
      </c>
      <c r="C1183" t="s">
        <v>31</v>
      </c>
      <c r="D1183" t="s">
        <v>16</v>
      </c>
      <c r="E1183" t="s">
        <v>17</v>
      </c>
      <c r="F1183" t="s">
        <v>21</v>
      </c>
      <c r="G1183">
        <v>42819</v>
      </c>
      <c r="H1183">
        <v>10</v>
      </c>
      <c r="I1183">
        <v>24</v>
      </c>
      <c r="J1183" t="s">
        <v>25</v>
      </c>
      <c r="K1183" s="4">
        <f>Table1[[#This Row],[Sales]]*Table1[[#This Row],[Quantity]]</f>
        <v>428190</v>
      </c>
      <c r="L1183" s="4">
        <f>Table1[[#This Row],[Revenue]]-(Table1[[#This Row],[Revenue]]*Table1[[#This Row],[Discount]]/100)</f>
        <v>325424.40000000002</v>
      </c>
    </row>
    <row r="1184" spans="1:12" x14ac:dyDescent="0.55000000000000004">
      <c r="A1184" t="s">
        <v>1213</v>
      </c>
      <c r="B1184" s="2">
        <v>45077</v>
      </c>
      <c r="C1184" t="s">
        <v>24</v>
      </c>
      <c r="D1184" t="s">
        <v>16</v>
      </c>
      <c r="E1184" t="s">
        <v>17</v>
      </c>
      <c r="F1184" t="s">
        <v>38</v>
      </c>
      <c r="G1184">
        <v>21689</v>
      </c>
      <c r="H1184">
        <v>9</v>
      </c>
      <c r="I1184">
        <v>18</v>
      </c>
      <c r="J1184" t="s">
        <v>22</v>
      </c>
      <c r="K1184" s="4">
        <f>Table1[[#This Row],[Sales]]*Table1[[#This Row],[Quantity]]</f>
        <v>195201</v>
      </c>
      <c r="L1184" s="4">
        <f>Table1[[#This Row],[Revenue]]-(Table1[[#This Row],[Revenue]]*Table1[[#This Row],[Discount]]/100)</f>
        <v>160064.82</v>
      </c>
    </row>
    <row r="1185" spans="1:12" x14ac:dyDescent="0.55000000000000004">
      <c r="A1185" t="s">
        <v>1214</v>
      </c>
      <c r="B1185" s="2">
        <v>45034</v>
      </c>
      <c r="C1185" t="s">
        <v>19</v>
      </c>
      <c r="D1185" t="s">
        <v>27</v>
      </c>
      <c r="E1185" t="s">
        <v>17</v>
      </c>
      <c r="F1185" t="s">
        <v>21</v>
      </c>
      <c r="G1185">
        <v>40540</v>
      </c>
      <c r="H1185">
        <v>4</v>
      </c>
      <c r="I1185">
        <v>26</v>
      </c>
      <c r="J1185" t="s">
        <v>13</v>
      </c>
      <c r="K1185" s="4">
        <f>Table1[[#This Row],[Sales]]*Table1[[#This Row],[Quantity]]</f>
        <v>162160</v>
      </c>
      <c r="L1185" s="4">
        <f>Table1[[#This Row],[Revenue]]-(Table1[[#This Row],[Revenue]]*Table1[[#This Row],[Discount]]/100)</f>
        <v>119998.39999999999</v>
      </c>
    </row>
    <row r="1186" spans="1:12" x14ac:dyDescent="0.55000000000000004">
      <c r="A1186" t="s">
        <v>1215</v>
      </c>
      <c r="B1186" s="2">
        <v>45254</v>
      </c>
      <c r="C1186" t="s">
        <v>24</v>
      </c>
      <c r="D1186" t="s">
        <v>16</v>
      </c>
      <c r="E1186" t="s">
        <v>17</v>
      </c>
      <c r="F1186" t="s">
        <v>48</v>
      </c>
      <c r="G1186">
        <v>32677</v>
      </c>
      <c r="H1186">
        <v>2</v>
      </c>
      <c r="I1186">
        <v>24</v>
      </c>
      <c r="J1186" t="s">
        <v>13</v>
      </c>
      <c r="K1186" s="4">
        <f>Table1[[#This Row],[Sales]]*Table1[[#This Row],[Quantity]]</f>
        <v>65354</v>
      </c>
      <c r="L1186" s="4">
        <f>Table1[[#This Row],[Revenue]]-(Table1[[#This Row],[Revenue]]*Table1[[#This Row],[Discount]]/100)</f>
        <v>49669.04</v>
      </c>
    </row>
    <row r="1187" spans="1:12" x14ac:dyDescent="0.55000000000000004">
      <c r="A1187" t="s">
        <v>1216</v>
      </c>
      <c r="B1187" s="2">
        <v>45115</v>
      </c>
      <c r="C1187" t="s">
        <v>15</v>
      </c>
      <c r="D1187" t="s">
        <v>37</v>
      </c>
      <c r="E1187" t="s">
        <v>17</v>
      </c>
      <c r="F1187" t="s">
        <v>48</v>
      </c>
      <c r="G1187">
        <v>34675</v>
      </c>
      <c r="H1187">
        <v>9</v>
      </c>
      <c r="I1187">
        <v>11</v>
      </c>
      <c r="J1187" t="s">
        <v>13</v>
      </c>
      <c r="K1187" s="4">
        <f>Table1[[#This Row],[Sales]]*Table1[[#This Row],[Quantity]]</f>
        <v>312075</v>
      </c>
      <c r="L1187" s="4">
        <f>Table1[[#This Row],[Revenue]]-(Table1[[#This Row],[Revenue]]*Table1[[#This Row],[Discount]]/100)</f>
        <v>277746.75</v>
      </c>
    </row>
    <row r="1188" spans="1:12" x14ac:dyDescent="0.55000000000000004">
      <c r="A1188" t="s">
        <v>1217</v>
      </c>
      <c r="B1188" s="2">
        <v>45012</v>
      </c>
      <c r="C1188" t="s">
        <v>19</v>
      </c>
      <c r="D1188" t="s">
        <v>46</v>
      </c>
      <c r="E1188" t="s">
        <v>11</v>
      </c>
      <c r="F1188" t="s">
        <v>38</v>
      </c>
      <c r="G1188">
        <v>45763</v>
      </c>
      <c r="H1188">
        <v>3</v>
      </c>
      <c r="I1188">
        <v>5</v>
      </c>
      <c r="J1188" t="s">
        <v>13</v>
      </c>
      <c r="K1188" s="4">
        <f>Table1[[#This Row],[Sales]]*Table1[[#This Row],[Quantity]]</f>
        <v>137289</v>
      </c>
      <c r="L1188" s="4">
        <f>Table1[[#This Row],[Revenue]]-(Table1[[#This Row],[Revenue]]*Table1[[#This Row],[Discount]]/100)</f>
        <v>130424.55</v>
      </c>
    </row>
    <row r="1189" spans="1:12" x14ac:dyDescent="0.55000000000000004">
      <c r="A1189" t="s">
        <v>1218</v>
      </c>
      <c r="B1189" s="2">
        <v>44938</v>
      </c>
      <c r="C1189" t="s">
        <v>15</v>
      </c>
      <c r="D1189" t="s">
        <v>27</v>
      </c>
      <c r="E1189" t="s">
        <v>17</v>
      </c>
      <c r="F1189" t="s">
        <v>12</v>
      </c>
      <c r="G1189">
        <v>17765</v>
      </c>
      <c r="H1189">
        <v>4</v>
      </c>
      <c r="I1189">
        <v>14</v>
      </c>
      <c r="J1189" t="s">
        <v>22</v>
      </c>
      <c r="K1189" s="4">
        <f>Table1[[#This Row],[Sales]]*Table1[[#This Row],[Quantity]]</f>
        <v>71060</v>
      </c>
      <c r="L1189" s="4">
        <f>Table1[[#This Row],[Revenue]]-(Table1[[#This Row],[Revenue]]*Table1[[#This Row],[Discount]]/100)</f>
        <v>61111.6</v>
      </c>
    </row>
    <row r="1190" spans="1:12" x14ac:dyDescent="0.55000000000000004">
      <c r="A1190" t="s">
        <v>1219</v>
      </c>
      <c r="B1190" s="2">
        <v>44986</v>
      </c>
      <c r="C1190" t="s">
        <v>24</v>
      </c>
      <c r="D1190" t="s">
        <v>46</v>
      </c>
      <c r="E1190" t="s">
        <v>17</v>
      </c>
      <c r="F1190" t="s">
        <v>29</v>
      </c>
      <c r="G1190">
        <v>43581</v>
      </c>
      <c r="H1190">
        <v>2</v>
      </c>
      <c r="I1190">
        <v>25</v>
      </c>
      <c r="J1190" t="s">
        <v>25</v>
      </c>
      <c r="K1190" s="4">
        <f>Table1[[#This Row],[Sales]]*Table1[[#This Row],[Quantity]]</f>
        <v>87162</v>
      </c>
      <c r="L1190" s="4">
        <f>Table1[[#This Row],[Revenue]]-(Table1[[#This Row],[Revenue]]*Table1[[#This Row],[Discount]]/100)</f>
        <v>65371.5</v>
      </c>
    </row>
    <row r="1191" spans="1:12" x14ac:dyDescent="0.55000000000000004">
      <c r="A1191" t="s">
        <v>1220</v>
      </c>
      <c r="B1191" s="2">
        <v>45181</v>
      </c>
      <c r="C1191" t="s">
        <v>15</v>
      </c>
      <c r="D1191" t="s">
        <v>20</v>
      </c>
      <c r="E1191" t="s">
        <v>17</v>
      </c>
      <c r="F1191" t="s">
        <v>38</v>
      </c>
      <c r="G1191">
        <v>45695</v>
      </c>
      <c r="H1191">
        <v>9</v>
      </c>
      <c r="I1191">
        <v>7</v>
      </c>
      <c r="J1191" t="s">
        <v>22</v>
      </c>
      <c r="K1191" s="4">
        <f>Table1[[#This Row],[Sales]]*Table1[[#This Row],[Quantity]]</f>
        <v>411255</v>
      </c>
      <c r="L1191" s="4">
        <f>Table1[[#This Row],[Revenue]]-(Table1[[#This Row],[Revenue]]*Table1[[#This Row],[Discount]]/100)</f>
        <v>382467.15</v>
      </c>
    </row>
    <row r="1192" spans="1:12" x14ac:dyDescent="0.55000000000000004">
      <c r="A1192" t="s">
        <v>1221</v>
      </c>
      <c r="B1192" s="2">
        <v>45002</v>
      </c>
      <c r="C1192" t="s">
        <v>31</v>
      </c>
      <c r="D1192" t="s">
        <v>16</v>
      </c>
      <c r="E1192" t="s">
        <v>17</v>
      </c>
      <c r="F1192" t="s">
        <v>44</v>
      </c>
      <c r="G1192">
        <v>32961</v>
      </c>
      <c r="H1192">
        <v>6</v>
      </c>
      <c r="I1192">
        <v>15</v>
      </c>
      <c r="J1192" t="s">
        <v>13</v>
      </c>
      <c r="K1192" s="4">
        <f>Table1[[#This Row],[Sales]]*Table1[[#This Row],[Quantity]]</f>
        <v>197766</v>
      </c>
      <c r="L1192" s="4">
        <f>Table1[[#This Row],[Revenue]]-(Table1[[#This Row],[Revenue]]*Table1[[#This Row],[Discount]]/100)</f>
        <v>168101.1</v>
      </c>
    </row>
    <row r="1193" spans="1:12" x14ac:dyDescent="0.55000000000000004">
      <c r="A1193" t="s">
        <v>1222</v>
      </c>
      <c r="B1193" s="2">
        <v>45201</v>
      </c>
      <c r="C1193" t="s">
        <v>19</v>
      </c>
      <c r="D1193" t="s">
        <v>27</v>
      </c>
      <c r="E1193" t="s">
        <v>11</v>
      </c>
      <c r="F1193" t="s">
        <v>44</v>
      </c>
      <c r="G1193">
        <v>3642</v>
      </c>
      <c r="H1193">
        <v>8</v>
      </c>
      <c r="I1193">
        <v>7</v>
      </c>
      <c r="J1193" t="s">
        <v>25</v>
      </c>
      <c r="K1193" s="4">
        <f>Table1[[#This Row],[Sales]]*Table1[[#This Row],[Quantity]]</f>
        <v>29136</v>
      </c>
      <c r="L1193" s="4">
        <f>Table1[[#This Row],[Revenue]]-(Table1[[#This Row],[Revenue]]*Table1[[#This Row],[Discount]]/100)</f>
        <v>27096.48</v>
      </c>
    </row>
    <row r="1194" spans="1:12" x14ac:dyDescent="0.55000000000000004">
      <c r="A1194" t="s">
        <v>1223</v>
      </c>
      <c r="B1194" s="2">
        <v>45211</v>
      </c>
      <c r="C1194" t="s">
        <v>24</v>
      </c>
      <c r="D1194" t="s">
        <v>20</v>
      </c>
      <c r="E1194" t="s">
        <v>11</v>
      </c>
      <c r="F1194" t="s">
        <v>29</v>
      </c>
      <c r="G1194">
        <v>27037</v>
      </c>
      <c r="H1194">
        <v>2</v>
      </c>
      <c r="I1194">
        <v>9</v>
      </c>
      <c r="J1194" t="s">
        <v>13</v>
      </c>
      <c r="K1194" s="4">
        <f>Table1[[#This Row],[Sales]]*Table1[[#This Row],[Quantity]]</f>
        <v>54074</v>
      </c>
      <c r="L1194" s="4">
        <f>Table1[[#This Row],[Revenue]]-(Table1[[#This Row],[Revenue]]*Table1[[#This Row],[Discount]]/100)</f>
        <v>49207.34</v>
      </c>
    </row>
    <row r="1195" spans="1:12" x14ac:dyDescent="0.55000000000000004">
      <c r="A1195" t="s">
        <v>1224</v>
      </c>
      <c r="B1195" s="2">
        <v>45031</v>
      </c>
      <c r="C1195" t="s">
        <v>15</v>
      </c>
      <c r="D1195" t="s">
        <v>37</v>
      </c>
      <c r="E1195" t="s">
        <v>17</v>
      </c>
      <c r="F1195" t="s">
        <v>34</v>
      </c>
      <c r="G1195">
        <v>22940</v>
      </c>
      <c r="H1195">
        <v>10</v>
      </c>
      <c r="I1195">
        <v>27</v>
      </c>
      <c r="J1195" t="s">
        <v>22</v>
      </c>
      <c r="K1195" s="4">
        <f>Table1[[#This Row],[Sales]]*Table1[[#This Row],[Quantity]]</f>
        <v>229400</v>
      </c>
      <c r="L1195" s="4">
        <f>Table1[[#This Row],[Revenue]]-(Table1[[#This Row],[Revenue]]*Table1[[#This Row],[Discount]]/100)</f>
        <v>167462</v>
      </c>
    </row>
    <row r="1196" spans="1:12" x14ac:dyDescent="0.55000000000000004">
      <c r="A1196" t="s">
        <v>1225</v>
      </c>
      <c r="B1196" s="2">
        <v>45129</v>
      </c>
      <c r="C1196" t="s">
        <v>15</v>
      </c>
      <c r="D1196" t="s">
        <v>46</v>
      </c>
      <c r="E1196" t="s">
        <v>11</v>
      </c>
      <c r="F1196" t="s">
        <v>29</v>
      </c>
      <c r="G1196">
        <v>747</v>
      </c>
      <c r="H1196">
        <v>2</v>
      </c>
      <c r="I1196">
        <v>26</v>
      </c>
      <c r="J1196" t="s">
        <v>13</v>
      </c>
      <c r="K1196" s="4">
        <f>Table1[[#This Row],[Sales]]*Table1[[#This Row],[Quantity]]</f>
        <v>1494</v>
      </c>
      <c r="L1196" s="4">
        <f>Table1[[#This Row],[Revenue]]-(Table1[[#This Row],[Revenue]]*Table1[[#This Row],[Discount]]/100)</f>
        <v>1105.56</v>
      </c>
    </row>
    <row r="1197" spans="1:12" x14ac:dyDescent="0.55000000000000004">
      <c r="A1197" t="s">
        <v>1226</v>
      </c>
      <c r="B1197" s="2">
        <v>44955</v>
      </c>
      <c r="C1197" t="s">
        <v>15</v>
      </c>
      <c r="D1197" t="s">
        <v>16</v>
      </c>
      <c r="E1197" t="s">
        <v>17</v>
      </c>
      <c r="F1197" t="s">
        <v>48</v>
      </c>
      <c r="G1197">
        <v>10238</v>
      </c>
      <c r="H1197">
        <v>10</v>
      </c>
      <c r="I1197">
        <v>28</v>
      </c>
      <c r="J1197" t="s">
        <v>13</v>
      </c>
      <c r="K1197" s="4">
        <f>Table1[[#This Row],[Sales]]*Table1[[#This Row],[Quantity]]</f>
        <v>102380</v>
      </c>
      <c r="L1197" s="4">
        <f>Table1[[#This Row],[Revenue]]-(Table1[[#This Row],[Revenue]]*Table1[[#This Row],[Discount]]/100)</f>
        <v>73713.600000000006</v>
      </c>
    </row>
    <row r="1198" spans="1:12" x14ac:dyDescent="0.55000000000000004">
      <c r="A1198" t="s">
        <v>1227</v>
      </c>
      <c r="B1198" s="2">
        <v>45119</v>
      </c>
      <c r="C1198" t="s">
        <v>19</v>
      </c>
      <c r="D1198" t="s">
        <v>27</v>
      </c>
      <c r="E1198" t="s">
        <v>17</v>
      </c>
      <c r="F1198" t="s">
        <v>38</v>
      </c>
      <c r="G1198">
        <v>6805</v>
      </c>
      <c r="H1198">
        <v>4</v>
      </c>
      <c r="I1198">
        <v>12</v>
      </c>
      <c r="J1198" t="s">
        <v>13</v>
      </c>
      <c r="K1198" s="4">
        <f>Table1[[#This Row],[Sales]]*Table1[[#This Row],[Quantity]]</f>
        <v>27220</v>
      </c>
      <c r="L1198" s="4">
        <f>Table1[[#This Row],[Revenue]]-(Table1[[#This Row],[Revenue]]*Table1[[#This Row],[Discount]]/100)</f>
        <v>23953.599999999999</v>
      </c>
    </row>
    <row r="1199" spans="1:12" x14ac:dyDescent="0.55000000000000004">
      <c r="A1199" t="s">
        <v>1228</v>
      </c>
      <c r="B1199" s="2">
        <v>45165</v>
      </c>
      <c r="C1199" t="s">
        <v>31</v>
      </c>
      <c r="D1199" t="s">
        <v>27</v>
      </c>
      <c r="E1199" t="s">
        <v>11</v>
      </c>
      <c r="F1199" t="s">
        <v>29</v>
      </c>
      <c r="G1199">
        <v>31024</v>
      </c>
      <c r="H1199">
        <v>6</v>
      </c>
      <c r="I1199">
        <v>20</v>
      </c>
      <c r="J1199" t="s">
        <v>25</v>
      </c>
      <c r="K1199" s="4">
        <f>Table1[[#This Row],[Sales]]*Table1[[#This Row],[Quantity]]</f>
        <v>186144</v>
      </c>
      <c r="L1199" s="4">
        <f>Table1[[#This Row],[Revenue]]-(Table1[[#This Row],[Revenue]]*Table1[[#This Row],[Discount]]/100)</f>
        <v>148915.20000000001</v>
      </c>
    </row>
    <row r="1200" spans="1:12" x14ac:dyDescent="0.55000000000000004">
      <c r="A1200" t="s">
        <v>1229</v>
      </c>
      <c r="B1200" s="2">
        <v>45034</v>
      </c>
      <c r="C1200" t="s">
        <v>24</v>
      </c>
      <c r="D1200" t="s">
        <v>16</v>
      </c>
      <c r="E1200" t="s">
        <v>17</v>
      </c>
      <c r="F1200" t="s">
        <v>21</v>
      </c>
      <c r="G1200">
        <v>22818</v>
      </c>
      <c r="H1200">
        <v>9</v>
      </c>
      <c r="I1200">
        <v>4</v>
      </c>
      <c r="J1200" t="s">
        <v>25</v>
      </c>
      <c r="K1200" s="4">
        <f>Table1[[#This Row],[Sales]]*Table1[[#This Row],[Quantity]]</f>
        <v>205362</v>
      </c>
      <c r="L1200" s="4">
        <f>Table1[[#This Row],[Revenue]]-(Table1[[#This Row],[Revenue]]*Table1[[#This Row],[Discount]]/100)</f>
        <v>197147.51999999999</v>
      </c>
    </row>
    <row r="1201" spans="1:12" x14ac:dyDescent="0.55000000000000004">
      <c r="A1201" t="s">
        <v>1230</v>
      </c>
      <c r="B1201" s="2">
        <v>45274</v>
      </c>
      <c r="C1201" t="s">
        <v>19</v>
      </c>
      <c r="D1201" t="s">
        <v>27</v>
      </c>
      <c r="E1201" t="s">
        <v>11</v>
      </c>
      <c r="F1201" t="s">
        <v>34</v>
      </c>
      <c r="G1201">
        <v>22937</v>
      </c>
      <c r="H1201">
        <v>3</v>
      </c>
      <c r="I1201">
        <v>14</v>
      </c>
      <c r="J1201" t="s">
        <v>13</v>
      </c>
      <c r="K1201" s="4">
        <f>Table1[[#This Row],[Sales]]*Table1[[#This Row],[Quantity]]</f>
        <v>68811</v>
      </c>
      <c r="L1201" s="4">
        <f>Table1[[#This Row],[Revenue]]-(Table1[[#This Row],[Revenue]]*Table1[[#This Row],[Discount]]/100)</f>
        <v>59177.46</v>
      </c>
    </row>
    <row r="1202" spans="1:12" x14ac:dyDescent="0.55000000000000004">
      <c r="A1202" t="s">
        <v>1231</v>
      </c>
      <c r="B1202" s="2">
        <v>45180</v>
      </c>
      <c r="C1202" t="s">
        <v>19</v>
      </c>
      <c r="D1202" t="s">
        <v>20</v>
      </c>
      <c r="E1202" t="s">
        <v>11</v>
      </c>
      <c r="F1202" t="s">
        <v>12</v>
      </c>
      <c r="G1202">
        <v>5764</v>
      </c>
      <c r="H1202">
        <v>4</v>
      </c>
      <c r="I1202">
        <v>22</v>
      </c>
      <c r="J1202" t="s">
        <v>22</v>
      </c>
      <c r="K1202" s="4">
        <f>Table1[[#This Row],[Sales]]*Table1[[#This Row],[Quantity]]</f>
        <v>23056</v>
      </c>
      <c r="L1202" s="4">
        <f>Table1[[#This Row],[Revenue]]-(Table1[[#This Row],[Revenue]]*Table1[[#This Row],[Discount]]/100)</f>
        <v>17983.68</v>
      </c>
    </row>
    <row r="1203" spans="1:12" x14ac:dyDescent="0.55000000000000004">
      <c r="A1203" t="s">
        <v>1232</v>
      </c>
      <c r="B1203" s="2">
        <v>45108</v>
      </c>
      <c r="C1203" t="s">
        <v>24</v>
      </c>
      <c r="D1203" t="s">
        <v>27</v>
      </c>
      <c r="E1203" t="s">
        <v>11</v>
      </c>
      <c r="F1203" t="s">
        <v>12</v>
      </c>
      <c r="G1203">
        <v>2517</v>
      </c>
      <c r="H1203">
        <v>10</v>
      </c>
      <c r="I1203">
        <v>26</v>
      </c>
      <c r="J1203" t="s">
        <v>22</v>
      </c>
      <c r="K1203" s="4">
        <f>Table1[[#This Row],[Sales]]*Table1[[#This Row],[Quantity]]</f>
        <v>25170</v>
      </c>
      <c r="L1203" s="4">
        <f>Table1[[#This Row],[Revenue]]-(Table1[[#This Row],[Revenue]]*Table1[[#This Row],[Discount]]/100)</f>
        <v>18625.8</v>
      </c>
    </row>
    <row r="1204" spans="1:12" x14ac:dyDescent="0.55000000000000004">
      <c r="A1204" t="s">
        <v>1233</v>
      </c>
      <c r="B1204" s="2">
        <v>45210</v>
      </c>
      <c r="C1204" t="s">
        <v>24</v>
      </c>
      <c r="D1204" t="s">
        <v>20</v>
      </c>
      <c r="E1204" t="s">
        <v>17</v>
      </c>
      <c r="F1204" t="s">
        <v>34</v>
      </c>
      <c r="G1204">
        <v>16620</v>
      </c>
      <c r="H1204">
        <v>7</v>
      </c>
      <c r="I1204">
        <v>8</v>
      </c>
      <c r="J1204" t="s">
        <v>22</v>
      </c>
      <c r="K1204" s="4">
        <f>Table1[[#This Row],[Sales]]*Table1[[#This Row],[Quantity]]</f>
        <v>116340</v>
      </c>
      <c r="L1204" s="4">
        <f>Table1[[#This Row],[Revenue]]-(Table1[[#This Row],[Revenue]]*Table1[[#This Row],[Discount]]/100)</f>
        <v>107032.8</v>
      </c>
    </row>
    <row r="1205" spans="1:12" x14ac:dyDescent="0.55000000000000004">
      <c r="A1205" t="s">
        <v>1234</v>
      </c>
      <c r="B1205" s="2">
        <v>45022</v>
      </c>
      <c r="C1205" t="s">
        <v>15</v>
      </c>
      <c r="D1205" t="s">
        <v>46</v>
      </c>
      <c r="E1205" t="s">
        <v>17</v>
      </c>
      <c r="F1205" t="s">
        <v>44</v>
      </c>
      <c r="G1205">
        <v>14453</v>
      </c>
      <c r="H1205">
        <v>8</v>
      </c>
      <c r="I1205">
        <v>1</v>
      </c>
      <c r="J1205" t="s">
        <v>25</v>
      </c>
      <c r="K1205" s="4">
        <f>Table1[[#This Row],[Sales]]*Table1[[#This Row],[Quantity]]</f>
        <v>115624</v>
      </c>
      <c r="L1205" s="4">
        <f>Table1[[#This Row],[Revenue]]-(Table1[[#This Row],[Revenue]]*Table1[[#This Row],[Discount]]/100)</f>
        <v>114467.76</v>
      </c>
    </row>
    <row r="1206" spans="1:12" x14ac:dyDescent="0.55000000000000004">
      <c r="A1206" t="s">
        <v>1235</v>
      </c>
      <c r="B1206" s="2">
        <v>44938</v>
      </c>
      <c r="C1206" t="s">
        <v>19</v>
      </c>
      <c r="D1206" t="s">
        <v>20</v>
      </c>
      <c r="E1206" t="s">
        <v>11</v>
      </c>
      <c r="F1206" t="s">
        <v>48</v>
      </c>
      <c r="G1206">
        <v>38481</v>
      </c>
      <c r="H1206">
        <v>8</v>
      </c>
      <c r="I1206">
        <v>7</v>
      </c>
      <c r="J1206" t="s">
        <v>25</v>
      </c>
      <c r="K1206" s="4">
        <f>Table1[[#This Row],[Sales]]*Table1[[#This Row],[Quantity]]</f>
        <v>307848</v>
      </c>
      <c r="L1206" s="4">
        <f>Table1[[#This Row],[Revenue]]-(Table1[[#This Row],[Revenue]]*Table1[[#This Row],[Discount]]/100)</f>
        <v>286298.64</v>
      </c>
    </row>
    <row r="1207" spans="1:12" x14ac:dyDescent="0.55000000000000004">
      <c r="A1207" t="s">
        <v>1236</v>
      </c>
      <c r="B1207" s="2">
        <v>45124</v>
      </c>
      <c r="C1207" t="s">
        <v>19</v>
      </c>
      <c r="D1207" t="s">
        <v>27</v>
      </c>
      <c r="E1207" t="s">
        <v>11</v>
      </c>
      <c r="F1207" t="s">
        <v>44</v>
      </c>
      <c r="G1207">
        <v>30004</v>
      </c>
      <c r="H1207">
        <v>2</v>
      </c>
      <c r="I1207">
        <v>17</v>
      </c>
      <c r="J1207" t="s">
        <v>25</v>
      </c>
      <c r="K1207" s="4">
        <f>Table1[[#This Row],[Sales]]*Table1[[#This Row],[Quantity]]</f>
        <v>60008</v>
      </c>
      <c r="L1207" s="4">
        <f>Table1[[#This Row],[Revenue]]-(Table1[[#This Row],[Revenue]]*Table1[[#This Row],[Discount]]/100)</f>
        <v>49806.64</v>
      </c>
    </row>
    <row r="1208" spans="1:12" x14ac:dyDescent="0.55000000000000004">
      <c r="A1208" t="s">
        <v>1237</v>
      </c>
      <c r="B1208" s="2">
        <v>44997</v>
      </c>
      <c r="C1208" t="s">
        <v>31</v>
      </c>
      <c r="D1208" t="s">
        <v>37</v>
      </c>
      <c r="E1208" t="s">
        <v>11</v>
      </c>
      <c r="F1208" t="s">
        <v>29</v>
      </c>
      <c r="G1208">
        <v>44196</v>
      </c>
      <c r="H1208">
        <v>7</v>
      </c>
      <c r="I1208">
        <v>8</v>
      </c>
      <c r="J1208" t="s">
        <v>22</v>
      </c>
      <c r="K1208" s="4">
        <f>Table1[[#This Row],[Sales]]*Table1[[#This Row],[Quantity]]</f>
        <v>309372</v>
      </c>
      <c r="L1208" s="4">
        <f>Table1[[#This Row],[Revenue]]-(Table1[[#This Row],[Revenue]]*Table1[[#This Row],[Discount]]/100)</f>
        <v>284622.24</v>
      </c>
    </row>
    <row r="1209" spans="1:12" x14ac:dyDescent="0.55000000000000004">
      <c r="A1209" t="s">
        <v>1238</v>
      </c>
      <c r="B1209" s="2">
        <v>45285</v>
      </c>
      <c r="C1209" t="s">
        <v>24</v>
      </c>
      <c r="D1209" t="s">
        <v>20</v>
      </c>
      <c r="E1209" t="s">
        <v>17</v>
      </c>
      <c r="F1209" t="s">
        <v>29</v>
      </c>
      <c r="G1209">
        <v>10818</v>
      </c>
      <c r="H1209">
        <v>2</v>
      </c>
      <c r="I1209">
        <v>12</v>
      </c>
      <c r="J1209" t="s">
        <v>22</v>
      </c>
      <c r="K1209" s="4">
        <f>Table1[[#This Row],[Sales]]*Table1[[#This Row],[Quantity]]</f>
        <v>21636</v>
      </c>
      <c r="L1209" s="4">
        <f>Table1[[#This Row],[Revenue]]-(Table1[[#This Row],[Revenue]]*Table1[[#This Row],[Discount]]/100)</f>
        <v>19039.68</v>
      </c>
    </row>
    <row r="1210" spans="1:12" x14ac:dyDescent="0.55000000000000004">
      <c r="A1210" t="s">
        <v>1239</v>
      </c>
      <c r="B1210" s="2">
        <v>45192</v>
      </c>
      <c r="C1210" t="s">
        <v>24</v>
      </c>
      <c r="D1210" t="s">
        <v>46</v>
      </c>
      <c r="E1210" t="s">
        <v>11</v>
      </c>
      <c r="F1210" t="s">
        <v>38</v>
      </c>
      <c r="G1210">
        <v>22597</v>
      </c>
      <c r="H1210">
        <v>3</v>
      </c>
      <c r="I1210">
        <v>25</v>
      </c>
      <c r="J1210" t="s">
        <v>25</v>
      </c>
      <c r="K1210" s="4">
        <f>Table1[[#This Row],[Sales]]*Table1[[#This Row],[Quantity]]</f>
        <v>67791</v>
      </c>
      <c r="L1210" s="4">
        <f>Table1[[#This Row],[Revenue]]-(Table1[[#This Row],[Revenue]]*Table1[[#This Row],[Discount]]/100)</f>
        <v>50843.25</v>
      </c>
    </row>
    <row r="1211" spans="1:12" x14ac:dyDescent="0.55000000000000004">
      <c r="A1211" t="s">
        <v>1240</v>
      </c>
      <c r="B1211" s="2">
        <v>45004</v>
      </c>
      <c r="C1211" t="s">
        <v>15</v>
      </c>
      <c r="D1211" t="s">
        <v>46</v>
      </c>
      <c r="E1211" t="s">
        <v>11</v>
      </c>
      <c r="F1211" t="s">
        <v>21</v>
      </c>
      <c r="G1211">
        <v>48504</v>
      </c>
      <c r="H1211">
        <v>10</v>
      </c>
      <c r="I1211">
        <v>23</v>
      </c>
      <c r="J1211" t="s">
        <v>25</v>
      </c>
      <c r="K1211" s="4">
        <f>Table1[[#This Row],[Sales]]*Table1[[#This Row],[Quantity]]</f>
        <v>485040</v>
      </c>
      <c r="L1211" s="4">
        <f>Table1[[#This Row],[Revenue]]-(Table1[[#This Row],[Revenue]]*Table1[[#This Row],[Discount]]/100)</f>
        <v>373480.8</v>
      </c>
    </row>
    <row r="1212" spans="1:12" x14ac:dyDescent="0.55000000000000004">
      <c r="A1212" t="s">
        <v>1241</v>
      </c>
      <c r="B1212" s="2">
        <v>44969</v>
      </c>
      <c r="C1212" t="s">
        <v>24</v>
      </c>
      <c r="D1212" t="s">
        <v>27</v>
      </c>
      <c r="E1212" t="s">
        <v>11</v>
      </c>
      <c r="F1212" t="s">
        <v>34</v>
      </c>
      <c r="G1212">
        <v>11595</v>
      </c>
      <c r="H1212">
        <v>7</v>
      </c>
      <c r="I1212">
        <v>12</v>
      </c>
      <c r="J1212" t="s">
        <v>22</v>
      </c>
      <c r="K1212" s="4">
        <f>Table1[[#This Row],[Sales]]*Table1[[#This Row],[Quantity]]</f>
        <v>81165</v>
      </c>
      <c r="L1212" s="4">
        <f>Table1[[#This Row],[Revenue]]-(Table1[[#This Row],[Revenue]]*Table1[[#This Row],[Discount]]/100)</f>
        <v>71425.2</v>
      </c>
    </row>
    <row r="1213" spans="1:12" x14ac:dyDescent="0.55000000000000004">
      <c r="A1213" t="s">
        <v>1242</v>
      </c>
      <c r="B1213" s="2">
        <v>44954</v>
      </c>
      <c r="C1213" t="s">
        <v>19</v>
      </c>
      <c r="D1213" t="s">
        <v>27</v>
      </c>
      <c r="E1213" t="s">
        <v>17</v>
      </c>
      <c r="F1213" t="s">
        <v>34</v>
      </c>
      <c r="G1213">
        <v>47124</v>
      </c>
      <c r="H1213">
        <v>5</v>
      </c>
      <c r="I1213">
        <v>23</v>
      </c>
      <c r="J1213" t="s">
        <v>25</v>
      </c>
      <c r="K1213" s="4">
        <f>Table1[[#This Row],[Sales]]*Table1[[#This Row],[Quantity]]</f>
        <v>235620</v>
      </c>
      <c r="L1213" s="4">
        <f>Table1[[#This Row],[Revenue]]-(Table1[[#This Row],[Revenue]]*Table1[[#This Row],[Discount]]/100)</f>
        <v>181427.4</v>
      </c>
    </row>
    <row r="1214" spans="1:12" x14ac:dyDescent="0.55000000000000004">
      <c r="A1214" t="s">
        <v>1243</v>
      </c>
      <c r="B1214" s="2">
        <v>45003</v>
      </c>
      <c r="C1214" t="s">
        <v>24</v>
      </c>
      <c r="D1214" t="s">
        <v>27</v>
      </c>
      <c r="E1214" t="s">
        <v>11</v>
      </c>
      <c r="F1214" t="s">
        <v>29</v>
      </c>
      <c r="G1214">
        <v>10919</v>
      </c>
      <c r="H1214">
        <v>2</v>
      </c>
      <c r="I1214">
        <v>1</v>
      </c>
      <c r="J1214" t="s">
        <v>22</v>
      </c>
      <c r="K1214" s="4">
        <f>Table1[[#This Row],[Sales]]*Table1[[#This Row],[Quantity]]</f>
        <v>21838</v>
      </c>
      <c r="L1214" s="4">
        <f>Table1[[#This Row],[Revenue]]-(Table1[[#This Row],[Revenue]]*Table1[[#This Row],[Discount]]/100)</f>
        <v>21619.62</v>
      </c>
    </row>
    <row r="1215" spans="1:12" x14ac:dyDescent="0.55000000000000004">
      <c r="A1215" t="s">
        <v>1244</v>
      </c>
      <c r="B1215" s="2">
        <v>45163</v>
      </c>
      <c r="C1215" t="s">
        <v>24</v>
      </c>
      <c r="D1215" t="s">
        <v>37</v>
      </c>
      <c r="E1215" t="s">
        <v>17</v>
      </c>
      <c r="F1215" t="s">
        <v>48</v>
      </c>
      <c r="G1215">
        <v>12772</v>
      </c>
      <c r="H1215">
        <v>5</v>
      </c>
      <c r="I1215">
        <v>3</v>
      </c>
      <c r="J1215" t="s">
        <v>13</v>
      </c>
      <c r="K1215" s="4">
        <f>Table1[[#This Row],[Sales]]*Table1[[#This Row],[Quantity]]</f>
        <v>63860</v>
      </c>
      <c r="L1215" s="4">
        <f>Table1[[#This Row],[Revenue]]-(Table1[[#This Row],[Revenue]]*Table1[[#This Row],[Discount]]/100)</f>
        <v>61944.2</v>
      </c>
    </row>
    <row r="1216" spans="1:12" x14ac:dyDescent="0.55000000000000004">
      <c r="A1216" t="s">
        <v>1245</v>
      </c>
      <c r="B1216" s="2">
        <v>45278</v>
      </c>
      <c r="C1216" t="s">
        <v>31</v>
      </c>
      <c r="D1216" t="s">
        <v>16</v>
      </c>
      <c r="E1216" t="s">
        <v>17</v>
      </c>
      <c r="F1216" t="s">
        <v>29</v>
      </c>
      <c r="G1216">
        <v>30573</v>
      </c>
      <c r="H1216">
        <v>9</v>
      </c>
      <c r="I1216">
        <v>28</v>
      </c>
      <c r="J1216" t="s">
        <v>22</v>
      </c>
      <c r="K1216" s="4">
        <f>Table1[[#This Row],[Sales]]*Table1[[#This Row],[Quantity]]</f>
        <v>275157</v>
      </c>
      <c r="L1216" s="4">
        <f>Table1[[#This Row],[Revenue]]-(Table1[[#This Row],[Revenue]]*Table1[[#This Row],[Discount]]/100)</f>
        <v>198113.03999999998</v>
      </c>
    </row>
    <row r="1217" spans="1:12" x14ac:dyDescent="0.55000000000000004">
      <c r="A1217" t="s">
        <v>1246</v>
      </c>
      <c r="B1217" s="2">
        <v>45033</v>
      </c>
      <c r="C1217" t="s">
        <v>15</v>
      </c>
      <c r="D1217" t="s">
        <v>16</v>
      </c>
      <c r="E1217" t="s">
        <v>17</v>
      </c>
      <c r="F1217" t="s">
        <v>34</v>
      </c>
      <c r="G1217">
        <v>35016</v>
      </c>
      <c r="H1217">
        <v>4</v>
      </c>
      <c r="I1217">
        <v>8</v>
      </c>
      <c r="J1217" t="s">
        <v>25</v>
      </c>
      <c r="K1217" s="4">
        <f>Table1[[#This Row],[Sales]]*Table1[[#This Row],[Quantity]]</f>
        <v>140064</v>
      </c>
      <c r="L1217" s="4">
        <f>Table1[[#This Row],[Revenue]]-(Table1[[#This Row],[Revenue]]*Table1[[#This Row],[Discount]]/100)</f>
        <v>128858.88</v>
      </c>
    </row>
    <row r="1218" spans="1:12" x14ac:dyDescent="0.55000000000000004">
      <c r="A1218" t="s">
        <v>1247</v>
      </c>
      <c r="B1218" s="2">
        <v>45271</v>
      </c>
      <c r="C1218" t="s">
        <v>15</v>
      </c>
      <c r="D1218" t="s">
        <v>46</v>
      </c>
      <c r="E1218" t="s">
        <v>17</v>
      </c>
      <c r="F1218" t="s">
        <v>34</v>
      </c>
      <c r="G1218">
        <v>41696</v>
      </c>
      <c r="H1218">
        <v>5</v>
      </c>
      <c r="I1218">
        <v>24</v>
      </c>
      <c r="J1218" t="s">
        <v>25</v>
      </c>
      <c r="K1218" s="4">
        <f>Table1[[#This Row],[Sales]]*Table1[[#This Row],[Quantity]]</f>
        <v>208480</v>
      </c>
      <c r="L1218" s="4">
        <f>Table1[[#This Row],[Revenue]]-(Table1[[#This Row],[Revenue]]*Table1[[#This Row],[Discount]]/100)</f>
        <v>158444.79999999999</v>
      </c>
    </row>
    <row r="1219" spans="1:12" x14ac:dyDescent="0.55000000000000004">
      <c r="A1219" t="s">
        <v>1248</v>
      </c>
      <c r="B1219" s="2">
        <v>44936</v>
      </c>
      <c r="C1219" t="s">
        <v>24</v>
      </c>
      <c r="D1219" t="s">
        <v>37</v>
      </c>
      <c r="E1219" t="s">
        <v>11</v>
      </c>
      <c r="F1219" t="s">
        <v>44</v>
      </c>
      <c r="G1219">
        <v>26212</v>
      </c>
      <c r="H1219">
        <v>6</v>
      </c>
      <c r="I1219">
        <v>26</v>
      </c>
      <c r="J1219" t="s">
        <v>22</v>
      </c>
      <c r="K1219" s="4">
        <f>Table1[[#This Row],[Sales]]*Table1[[#This Row],[Quantity]]</f>
        <v>157272</v>
      </c>
      <c r="L1219" s="4">
        <f>Table1[[#This Row],[Revenue]]-(Table1[[#This Row],[Revenue]]*Table1[[#This Row],[Discount]]/100)</f>
        <v>116381.28</v>
      </c>
    </row>
    <row r="1220" spans="1:12" x14ac:dyDescent="0.55000000000000004">
      <c r="A1220" t="s">
        <v>1249</v>
      </c>
      <c r="B1220" s="2">
        <v>45091</v>
      </c>
      <c r="C1220" t="s">
        <v>15</v>
      </c>
      <c r="D1220" t="s">
        <v>16</v>
      </c>
      <c r="E1220" t="s">
        <v>17</v>
      </c>
      <c r="F1220" t="s">
        <v>12</v>
      </c>
      <c r="G1220">
        <v>37041</v>
      </c>
      <c r="H1220">
        <v>1</v>
      </c>
      <c r="I1220">
        <v>22</v>
      </c>
      <c r="J1220" t="s">
        <v>25</v>
      </c>
      <c r="K1220" s="4">
        <f>Table1[[#This Row],[Sales]]*Table1[[#This Row],[Quantity]]</f>
        <v>37041</v>
      </c>
      <c r="L1220" s="4">
        <f>Table1[[#This Row],[Revenue]]-(Table1[[#This Row],[Revenue]]*Table1[[#This Row],[Discount]]/100)</f>
        <v>28891.98</v>
      </c>
    </row>
    <row r="1221" spans="1:12" x14ac:dyDescent="0.55000000000000004">
      <c r="A1221" t="s">
        <v>1250</v>
      </c>
      <c r="B1221" s="2">
        <v>45219</v>
      </c>
      <c r="C1221" t="s">
        <v>24</v>
      </c>
      <c r="D1221" t="s">
        <v>37</v>
      </c>
      <c r="E1221" t="s">
        <v>11</v>
      </c>
      <c r="F1221" t="s">
        <v>44</v>
      </c>
      <c r="G1221">
        <v>9620</v>
      </c>
      <c r="H1221">
        <v>9</v>
      </c>
      <c r="I1221">
        <v>22</v>
      </c>
      <c r="J1221" t="s">
        <v>22</v>
      </c>
      <c r="K1221" s="4">
        <f>Table1[[#This Row],[Sales]]*Table1[[#This Row],[Quantity]]</f>
        <v>86580</v>
      </c>
      <c r="L1221" s="4">
        <f>Table1[[#This Row],[Revenue]]-(Table1[[#This Row],[Revenue]]*Table1[[#This Row],[Discount]]/100)</f>
        <v>67532.399999999994</v>
      </c>
    </row>
    <row r="1222" spans="1:12" x14ac:dyDescent="0.55000000000000004">
      <c r="A1222" t="s">
        <v>1251</v>
      </c>
      <c r="B1222" s="2">
        <v>45103</v>
      </c>
      <c r="C1222" t="s">
        <v>19</v>
      </c>
      <c r="D1222" t="s">
        <v>20</v>
      </c>
      <c r="E1222" t="s">
        <v>11</v>
      </c>
      <c r="F1222" t="s">
        <v>34</v>
      </c>
      <c r="G1222">
        <v>41128</v>
      </c>
      <c r="H1222">
        <v>8</v>
      </c>
      <c r="I1222">
        <v>23</v>
      </c>
      <c r="J1222" t="s">
        <v>22</v>
      </c>
      <c r="K1222" s="4">
        <f>Table1[[#This Row],[Sales]]*Table1[[#This Row],[Quantity]]</f>
        <v>329024</v>
      </c>
      <c r="L1222" s="4">
        <f>Table1[[#This Row],[Revenue]]-(Table1[[#This Row],[Revenue]]*Table1[[#This Row],[Discount]]/100)</f>
        <v>253348.47999999998</v>
      </c>
    </row>
    <row r="1223" spans="1:12" x14ac:dyDescent="0.55000000000000004">
      <c r="A1223" t="s">
        <v>1252</v>
      </c>
      <c r="B1223" s="2">
        <v>45113</v>
      </c>
      <c r="C1223" t="s">
        <v>19</v>
      </c>
      <c r="D1223" t="s">
        <v>37</v>
      </c>
      <c r="E1223" t="s">
        <v>11</v>
      </c>
      <c r="F1223" t="s">
        <v>48</v>
      </c>
      <c r="G1223">
        <v>10489</v>
      </c>
      <c r="H1223">
        <v>7</v>
      </c>
      <c r="I1223">
        <v>11</v>
      </c>
      <c r="J1223" t="s">
        <v>22</v>
      </c>
      <c r="K1223" s="4">
        <f>Table1[[#This Row],[Sales]]*Table1[[#This Row],[Quantity]]</f>
        <v>73423</v>
      </c>
      <c r="L1223" s="4">
        <f>Table1[[#This Row],[Revenue]]-(Table1[[#This Row],[Revenue]]*Table1[[#This Row],[Discount]]/100)</f>
        <v>65346.47</v>
      </c>
    </row>
    <row r="1224" spans="1:12" x14ac:dyDescent="0.55000000000000004">
      <c r="A1224" t="s">
        <v>1253</v>
      </c>
      <c r="B1224" s="2">
        <v>45089</v>
      </c>
      <c r="C1224" t="s">
        <v>19</v>
      </c>
      <c r="D1224" t="s">
        <v>46</v>
      </c>
      <c r="E1224" t="s">
        <v>11</v>
      </c>
      <c r="F1224" t="s">
        <v>12</v>
      </c>
      <c r="G1224">
        <v>20716</v>
      </c>
      <c r="H1224">
        <v>6</v>
      </c>
      <c r="I1224">
        <v>25</v>
      </c>
      <c r="J1224" t="s">
        <v>13</v>
      </c>
      <c r="K1224" s="4">
        <f>Table1[[#This Row],[Sales]]*Table1[[#This Row],[Quantity]]</f>
        <v>124296</v>
      </c>
      <c r="L1224" s="4">
        <f>Table1[[#This Row],[Revenue]]-(Table1[[#This Row],[Revenue]]*Table1[[#This Row],[Discount]]/100)</f>
        <v>93222</v>
      </c>
    </row>
    <row r="1225" spans="1:12" x14ac:dyDescent="0.55000000000000004">
      <c r="A1225" t="s">
        <v>1254</v>
      </c>
      <c r="B1225" s="2">
        <v>45082</v>
      </c>
      <c r="C1225" t="s">
        <v>24</v>
      </c>
      <c r="D1225" t="s">
        <v>27</v>
      </c>
      <c r="E1225" t="s">
        <v>17</v>
      </c>
      <c r="F1225" t="s">
        <v>34</v>
      </c>
      <c r="G1225">
        <v>29371</v>
      </c>
      <c r="H1225">
        <v>9</v>
      </c>
      <c r="I1225">
        <v>2</v>
      </c>
      <c r="J1225" t="s">
        <v>22</v>
      </c>
      <c r="K1225" s="4">
        <f>Table1[[#This Row],[Sales]]*Table1[[#This Row],[Quantity]]</f>
        <v>264339</v>
      </c>
      <c r="L1225" s="4">
        <f>Table1[[#This Row],[Revenue]]-(Table1[[#This Row],[Revenue]]*Table1[[#This Row],[Discount]]/100)</f>
        <v>259052.22</v>
      </c>
    </row>
    <row r="1226" spans="1:12" x14ac:dyDescent="0.55000000000000004">
      <c r="A1226" t="s">
        <v>1255</v>
      </c>
      <c r="B1226" s="2">
        <v>44941</v>
      </c>
      <c r="C1226" t="s">
        <v>15</v>
      </c>
      <c r="D1226" t="s">
        <v>27</v>
      </c>
      <c r="E1226" t="s">
        <v>17</v>
      </c>
      <c r="F1226" t="s">
        <v>21</v>
      </c>
      <c r="G1226">
        <v>21219</v>
      </c>
      <c r="H1226">
        <v>7</v>
      </c>
      <c r="I1226">
        <v>16</v>
      </c>
      <c r="J1226" t="s">
        <v>25</v>
      </c>
      <c r="K1226" s="4">
        <f>Table1[[#This Row],[Sales]]*Table1[[#This Row],[Quantity]]</f>
        <v>148533</v>
      </c>
      <c r="L1226" s="4">
        <f>Table1[[#This Row],[Revenue]]-(Table1[[#This Row],[Revenue]]*Table1[[#This Row],[Discount]]/100)</f>
        <v>124767.72</v>
      </c>
    </row>
    <row r="1227" spans="1:12" x14ac:dyDescent="0.55000000000000004">
      <c r="A1227" t="s">
        <v>1256</v>
      </c>
      <c r="B1227" s="2">
        <v>44963</v>
      </c>
      <c r="C1227" t="s">
        <v>19</v>
      </c>
      <c r="D1227" t="s">
        <v>16</v>
      </c>
      <c r="E1227" t="s">
        <v>17</v>
      </c>
      <c r="F1227" t="s">
        <v>12</v>
      </c>
      <c r="G1227">
        <v>9642</v>
      </c>
      <c r="H1227">
        <v>3</v>
      </c>
      <c r="I1227">
        <v>18</v>
      </c>
      <c r="J1227" t="s">
        <v>25</v>
      </c>
      <c r="K1227" s="4">
        <f>Table1[[#This Row],[Sales]]*Table1[[#This Row],[Quantity]]</f>
        <v>28926</v>
      </c>
      <c r="L1227" s="4">
        <f>Table1[[#This Row],[Revenue]]-(Table1[[#This Row],[Revenue]]*Table1[[#This Row],[Discount]]/100)</f>
        <v>23719.32</v>
      </c>
    </row>
    <row r="1228" spans="1:12" x14ac:dyDescent="0.55000000000000004">
      <c r="A1228" t="s">
        <v>1257</v>
      </c>
      <c r="B1228" s="2">
        <v>45229</v>
      </c>
      <c r="C1228" t="s">
        <v>31</v>
      </c>
      <c r="D1228" t="s">
        <v>27</v>
      </c>
      <c r="E1228" t="s">
        <v>11</v>
      </c>
      <c r="F1228" t="s">
        <v>21</v>
      </c>
      <c r="G1228">
        <v>47275</v>
      </c>
      <c r="H1228">
        <v>5</v>
      </c>
      <c r="I1228">
        <v>26</v>
      </c>
      <c r="J1228" t="s">
        <v>25</v>
      </c>
      <c r="K1228" s="4">
        <f>Table1[[#This Row],[Sales]]*Table1[[#This Row],[Quantity]]</f>
        <v>236375</v>
      </c>
      <c r="L1228" s="4">
        <f>Table1[[#This Row],[Revenue]]-(Table1[[#This Row],[Revenue]]*Table1[[#This Row],[Discount]]/100)</f>
        <v>174917.5</v>
      </c>
    </row>
    <row r="1229" spans="1:12" x14ac:dyDescent="0.55000000000000004">
      <c r="A1229" t="s">
        <v>1258</v>
      </c>
      <c r="B1229" s="2">
        <v>44967</v>
      </c>
      <c r="C1229" t="s">
        <v>19</v>
      </c>
      <c r="D1229" t="s">
        <v>16</v>
      </c>
      <c r="E1229" t="s">
        <v>11</v>
      </c>
      <c r="F1229" t="s">
        <v>12</v>
      </c>
      <c r="G1229">
        <v>227</v>
      </c>
      <c r="H1229">
        <v>7</v>
      </c>
      <c r="I1229">
        <v>29</v>
      </c>
      <c r="J1229" t="s">
        <v>25</v>
      </c>
      <c r="K1229" s="4">
        <f>Table1[[#This Row],[Sales]]*Table1[[#This Row],[Quantity]]</f>
        <v>1589</v>
      </c>
      <c r="L1229" s="4">
        <f>Table1[[#This Row],[Revenue]]-(Table1[[#This Row],[Revenue]]*Table1[[#This Row],[Discount]]/100)</f>
        <v>1128.19</v>
      </c>
    </row>
    <row r="1230" spans="1:12" x14ac:dyDescent="0.55000000000000004">
      <c r="A1230" t="s">
        <v>1259</v>
      </c>
      <c r="B1230" s="2">
        <v>45280</v>
      </c>
      <c r="C1230" t="s">
        <v>15</v>
      </c>
      <c r="D1230" t="s">
        <v>46</v>
      </c>
      <c r="E1230" t="s">
        <v>11</v>
      </c>
      <c r="F1230" t="s">
        <v>38</v>
      </c>
      <c r="G1230">
        <v>27593</v>
      </c>
      <c r="H1230">
        <v>9</v>
      </c>
      <c r="I1230">
        <v>18</v>
      </c>
      <c r="J1230" t="s">
        <v>22</v>
      </c>
      <c r="K1230" s="4">
        <f>Table1[[#This Row],[Sales]]*Table1[[#This Row],[Quantity]]</f>
        <v>248337</v>
      </c>
      <c r="L1230" s="4">
        <f>Table1[[#This Row],[Revenue]]-(Table1[[#This Row],[Revenue]]*Table1[[#This Row],[Discount]]/100)</f>
        <v>203636.34</v>
      </c>
    </row>
    <row r="1231" spans="1:12" x14ac:dyDescent="0.55000000000000004">
      <c r="A1231" t="s">
        <v>1260</v>
      </c>
      <c r="B1231" s="2">
        <v>45173</v>
      </c>
      <c r="C1231" t="s">
        <v>15</v>
      </c>
      <c r="D1231" t="s">
        <v>46</v>
      </c>
      <c r="E1231" t="s">
        <v>17</v>
      </c>
      <c r="F1231" t="s">
        <v>38</v>
      </c>
      <c r="G1231">
        <v>31564</v>
      </c>
      <c r="H1231">
        <v>2</v>
      </c>
      <c r="I1231">
        <v>1</v>
      </c>
      <c r="J1231" t="s">
        <v>22</v>
      </c>
      <c r="K1231" s="4">
        <f>Table1[[#This Row],[Sales]]*Table1[[#This Row],[Quantity]]</f>
        <v>63128</v>
      </c>
      <c r="L1231" s="4">
        <f>Table1[[#This Row],[Revenue]]-(Table1[[#This Row],[Revenue]]*Table1[[#This Row],[Discount]]/100)</f>
        <v>62496.72</v>
      </c>
    </row>
    <row r="1232" spans="1:12" x14ac:dyDescent="0.55000000000000004">
      <c r="A1232" t="s">
        <v>1261</v>
      </c>
      <c r="B1232" s="2">
        <v>45156</v>
      </c>
      <c r="C1232" t="s">
        <v>31</v>
      </c>
      <c r="D1232" t="s">
        <v>20</v>
      </c>
      <c r="E1232" t="s">
        <v>11</v>
      </c>
      <c r="F1232" t="s">
        <v>44</v>
      </c>
      <c r="G1232">
        <v>27261</v>
      </c>
      <c r="H1232">
        <v>8</v>
      </c>
      <c r="I1232">
        <v>7</v>
      </c>
      <c r="J1232" t="s">
        <v>22</v>
      </c>
      <c r="K1232" s="4">
        <f>Table1[[#This Row],[Sales]]*Table1[[#This Row],[Quantity]]</f>
        <v>218088</v>
      </c>
      <c r="L1232" s="4">
        <f>Table1[[#This Row],[Revenue]]-(Table1[[#This Row],[Revenue]]*Table1[[#This Row],[Discount]]/100)</f>
        <v>202821.84</v>
      </c>
    </row>
    <row r="1233" spans="1:12" x14ac:dyDescent="0.55000000000000004">
      <c r="A1233" t="s">
        <v>1262</v>
      </c>
      <c r="B1233" s="2">
        <v>45108</v>
      </c>
      <c r="C1233" t="s">
        <v>19</v>
      </c>
      <c r="D1233" t="s">
        <v>46</v>
      </c>
      <c r="E1233" t="s">
        <v>17</v>
      </c>
      <c r="F1233" t="s">
        <v>12</v>
      </c>
      <c r="G1233">
        <v>47754</v>
      </c>
      <c r="H1233">
        <v>7</v>
      </c>
      <c r="I1233">
        <v>17</v>
      </c>
      <c r="J1233" t="s">
        <v>22</v>
      </c>
      <c r="K1233" s="4">
        <f>Table1[[#This Row],[Sales]]*Table1[[#This Row],[Quantity]]</f>
        <v>334278</v>
      </c>
      <c r="L1233" s="4">
        <f>Table1[[#This Row],[Revenue]]-(Table1[[#This Row],[Revenue]]*Table1[[#This Row],[Discount]]/100)</f>
        <v>277450.74</v>
      </c>
    </row>
    <row r="1234" spans="1:12" x14ac:dyDescent="0.55000000000000004">
      <c r="A1234" t="s">
        <v>1263</v>
      </c>
      <c r="B1234" s="2">
        <v>44932</v>
      </c>
      <c r="C1234" t="s">
        <v>19</v>
      </c>
      <c r="D1234" t="s">
        <v>20</v>
      </c>
      <c r="E1234" t="s">
        <v>17</v>
      </c>
      <c r="F1234" t="s">
        <v>34</v>
      </c>
      <c r="G1234">
        <v>28160</v>
      </c>
      <c r="H1234">
        <v>7</v>
      </c>
      <c r="I1234">
        <v>29</v>
      </c>
      <c r="J1234" t="s">
        <v>22</v>
      </c>
      <c r="K1234" s="4">
        <f>Table1[[#This Row],[Sales]]*Table1[[#This Row],[Quantity]]</f>
        <v>197120</v>
      </c>
      <c r="L1234" s="4">
        <f>Table1[[#This Row],[Revenue]]-(Table1[[#This Row],[Revenue]]*Table1[[#This Row],[Discount]]/100)</f>
        <v>139955.20000000001</v>
      </c>
    </row>
    <row r="1235" spans="1:12" x14ac:dyDescent="0.55000000000000004">
      <c r="A1235" t="s">
        <v>1264</v>
      </c>
      <c r="B1235" s="2">
        <v>44944</v>
      </c>
      <c r="C1235" t="s">
        <v>15</v>
      </c>
      <c r="D1235" t="s">
        <v>20</v>
      </c>
      <c r="E1235" t="s">
        <v>11</v>
      </c>
      <c r="F1235" t="s">
        <v>48</v>
      </c>
      <c r="G1235">
        <v>16836</v>
      </c>
      <c r="H1235">
        <v>3</v>
      </c>
      <c r="I1235">
        <v>7</v>
      </c>
      <c r="J1235" t="s">
        <v>13</v>
      </c>
      <c r="K1235" s="4">
        <f>Table1[[#This Row],[Sales]]*Table1[[#This Row],[Quantity]]</f>
        <v>50508</v>
      </c>
      <c r="L1235" s="4">
        <f>Table1[[#This Row],[Revenue]]-(Table1[[#This Row],[Revenue]]*Table1[[#This Row],[Discount]]/100)</f>
        <v>46972.44</v>
      </c>
    </row>
    <row r="1236" spans="1:12" x14ac:dyDescent="0.55000000000000004">
      <c r="A1236" t="s">
        <v>1265</v>
      </c>
      <c r="B1236" s="2">
        <v>45145</v>
      </c>
      <c r="C1236" t="s">
        <v>15</v>
      </c>
      <c r="D1236" t="s">
        <v>20</v>
      </c>
      <c r="E1236" t="s">
        <v>17</v>
      </c>
      <c r="F1236" t="s">
        <v>48</v>
      </c>
      <c r="G1236">
        <v>20656</v>
      </c>
      <c r="H1236">
        <v>1</v>
      </c>
      <c r="I1236">
        <v>20</v>
      </c>
      <c r="J1236" t="s">
        <v>22</v>
      </c>
      <c r="K1236" s="4">
        <f>Table1[[#This Row],[Sales]]*Table1[[#This Row],[Quantity]]</f>
        <v>20656</v>
      </c>
      <c r="L1236" s="4">
        <f>Table1[[#This Row],[Revenue]]-(Table1[[#This Row],[Revenue]]*Table1[[#This Row],[Discount]]/100)</f>
        <v>16524.8</v>
      </c>
    </row>
    <row r="1237" spans="1:12" x14ac:dyDescent="0.55000000000000004">
      <c r="A1237" t="s">
        <v>1266</v>
      </c>
      <c r="B1237" s="2">
        <v>44998</v>
      </c>
      <c r="C1237" t="s">
        <v>31</v>
      </c>
      <c r="D1237" t="s">
        <v>20</v>
      </c>
      <c r="E1237" t="s">
        <v>11</v>
      </c>
      <c r="F1237" t="s">
        <v>44</v>
      </c>
      <c r="G1237">
        <v>6974</v>
      </c>
      <c r="H1237">
        <v>1</v>
      </c>
      <c r="I1237">
        <v>28</v>
      </c>
      <c r="J1237" t="s">
        <v>22</v>
      </c>
      <c r="K1237" s="4">
        <f>Table1[[#This Row],[Sales]]*Table1[[#This Row],[Quantity]]</f>
        <v>6974</v>
      </c>
      <c r="L1237" s="4">
        <f>Table1[[#This Row],[Revenue]]-(Table1[[#This Row],[Revenue]]*Table1[[#This Row],[Discount]]/100)</f>
        <v>5021.28</v>
      </c>
    </row>
    <row r="1238" spans="1:12" x14ac:dyDescent="0.55000000000000004">
      <c r="A1238" t="s">
        <v>1267</v>
      </c>
      <c r="B1238" s="2">
        <v>45160</v>
      </c>
      <c r="C1238" t="s">
        <v>24</v>
      </c>
      <c r="D1238" t="s">
        <v>46</v>
      </c>
      <c r="E1238" t="s">
        <v>11</v>
      </c>
      <c r="F1238" t="s">
        <v>34</v>
      </c>
      <c r="G1238">
        <v>24851</v>
      </c>
      <c r="H1238">
        <v>7</v>
      </c>
      <c r="I1238">
        <v>5</v>
      </c>
      <c r="J1238" t="s">
        <v>22</v>
      </c>
      <c r="K1238" s="4">
        <f>Table1[[#This Row],[Sales]]*Table1[[#This Row],[Quantity]]</f>
        <v>173957</v>
      </c>
      <c r="L1238" s="4">
        <f>Table1[[#This Row],[Revenue]]-(Table1[[#This Row],[Revenue]]*Table1[[#This Row],[Discount]]/100)</f>
        <v>165259.15</v>
      </c>
    </row>
    <row r="1239" spans="1:12" x14ac:dyDescent="0.55000000000000004">
      <c r="A1239" t="s">
        <v>1268</v>
      </c>
      <c r="B1239" s="2">
        <v>45032</v>
      </c>
      <c r="C1239" t="s">
        <v>15</v>
      </c>
      <c r="D1239" t="s">
        <v>27</v>
      </c>
      <c r="E1239" t="s">
        <v>11</v>
      </c>
      <c r="F1239" t="s">
        <v>29</v>
      </c>
      <c r="G1239">
        <v>1194</v>
      </c>
      <c r="H1239">
        <v>9</v>
      </c>
      <c r="I1239">
        <v>24</v>
      </c>
      <c r="J1239" t="s">
        <v>22</v>
      </c>
      <c r="K1239" s="4">
        <f>Table1[[#This Row],[Sales]]*Table1[[#This Row],[Quantity]]</f>
        <v>10746</v>
      </c>
      <c r="L1239" s="4">
        <f>Table1[[#This Row],[Revenue]]-(Table1[[#This Row],[Revenue]]*Table1[[#This Row],[Discount]]/100)</f>
        <v>8166.96</v>
      </c>
    </row>
    <row r="1240" spans="1:12" x14ac:dyDescent="0.55000000000000004">
      <c r="A1240" t="s">
        <v>1269</v>
      </c>
      <c r="B1240" s="2">
        <v>44970</v>
      </c>
      <c r="C1240" t="s">
        <v>24</v>
      </c>
      <c r="D1240" t="s">
        <v>37</v>
      </c>
      <c r="E1240" t="s">
        <v>17</v>
      </c>
      <c r="F1240" t="s">
        <v>34</v>
      </c>
      <c r="G1240">
        <v>31105</v>
      </c>
      <c r="H1240">
        <v>10</v>
      </c>
      <c r="I1240">
        <v>19</v>
      </c>
      <c r="J1240" t="s">
        <v>13</v>
      </c>
      <c r="K1240" s="4">
        <f>Table1[[#This Row],[Sales]]*Table1[[#This Row],[Quantity]]</f>
        <v>311050</v>
      </c>
      <c r="L1240" s="4">
        <f>Table1[[#This Row],[Revenue]]-(Table1[[#This Row],[Revenue]]*Table1[[#This Row],[Discount]]/100)</f>
        <v>251950.5</v>
      </c>
    </row>
    <row r="1241" spans="1:12" x14ac:dyDescent="0.55000000000000004">
      <c r="A1241" t="s">
        <v>1270</v>
      </c>
      <c r="B1241" s="2">
        <v>44970</v>
      </c>
      <c r="C1241" t="s">
        <v>19</v>
      </c>
      <c r="D1241" t="s">
        <v>20</v>
      </c>
      <c r="E1241" t="s">
        <v>11</v>
      </c>
      <c r="F1241" t="s">
        <v>21</v>
      </c>
      <c r="G1241">
        <v>22116</v>
      </c>
      <c r="H1241">
        <v>3</v>
      </c>
      <c r="I1241">
        <v>11</v>
      </c>
      <c r="J1241" t="s">
        <v>22</v>
      </c>
      <c r="K1241" s="4">
        <f>Table1[[#This Row],[Sales]]*Table1[[#This Row],[Quantity]]</f>
        <v>66348</v>
      </c>
      <c r="L1241" s="4">
        <f>Table1[[#This Row],[Revenue]]-(Table1[[#This Row],[Revenue]]*Table1[[#This Row],[Discount]]/100)</f>
        <v>59049.72</v>
      </c>
    </row>
    <row r="1242" spans="1:12" x14ac:dyDescent="0.55000000000000004">
      <c r="A1242" t="s">
        <v>1271</v>
      </c>
      <c r="B1242" s="2">
        <v>45060</v>
      </c>
      <c r="C1242" t="s">
        <v>31</v>
      </c>
      <c r="D1242" t="s">
        <v>27</v>
      </c>
      <c r="E1242" t="s">
        <v>17</v>
      </c>
      <c r="F1242" t="s">
        <v>34</v>
      </c>
      <c r="G1242">
        <v>22598</v>
      </c>
      <c r="H1242">
        <v>2</v>
      </c>
      <c r="I1242">
        <v>25</v>
      </c>
      <c r="J1242" t="s">
        <v>22</v>
      </c>
      <c r="K1242" s="4">
        <f>Table1[[#This Row],[Sales]]*Table1[[#This Row],[Quantity]]</f>
        <v>45196</v>
      </c>
      <c r="L1242" s="4">
        <f>Table1[[#This Row],[Revenue]]-(Table1[[#This Row],[Revenue]]*Table1[[#This Row],[Discount]]/100)</f>
        <v>33897</v>
      </c>
    </row>
    <row r="1243" spans="1:12" x14ac:dyDescent="0.55000000000000004">
      <c r="A1243" t="s">
        <v>1272</v>
      </c>
      <c r="B1243" s="2">
        <v>44959</v>
      </c>
      <c r="C1243" t="s">
        <v>31</v>
      </c>
      <c r="D1243" t="s">
        <v>46</v>
      </c>
      <c r="E1243" t="s">
        <v>11</v>
      </c>
      <c r="F1243" t="s">
        <v>38</v>
      </c>
      <c r="G1243">
        <v>28546</v>
      </c>
      <c r="H1243">
        <v>7</v>
      </c>
      <c r="I1243">
        <v>11</v>
      </c>
      <c r="J1243" t="s">
        <v>25</v>
      </c>
      <c r="K1243" s="4">
        <f>Table1[[#This Row],[Sales]]*Table1[[#This Row],[Quantity]]</f>
        <v>199822</v>
      </c>
      <c r="L1243" s="4">
        <f>Table1[[#This Row],[Revenue]]-(Table1[[#This Row],[Revenue]]*Table1[[#This Row],[Discount]]/100)</f>
        <v>177841.58000000002</v>
      </c>
    </row>
    <row r="1244" spans="1:12" x14ac:dyDescent="0.55000000000000004">
      <c r="A1244" t="s">
        <v>1273</v>
      </c>
      <c r="B1244" s="2">
        <v>45135</v>
      </c>
      <c r="C1244" t="s">
        <v>19</v>
      </c>
      <c r="D1244" t="s">
        <v>37</v>
      </c>
      <c r="E1244" t="s">
        <v>17</v>
      </c>
      <c r="F1244" t="s">
        <v>38</v>
      </c>
      <c r="G1244">
        <v>8814</v>
      </c>
      <c r="H1244">
        <v>3</v>
      </c>
      <c r="I1244">
        <v>20</v>
      </c>
      <c r="J1244" t="s">
        <v>13</v>
      </c>
      <c r="K1244" s="4">
        <f>Table1[[#This Row],[Sales]]*Table1[[#This Row],[Quantity]]</f>
        <v>26442</v>
      </c>
      <c r="L1244" s="4">
        <f>Table1[[#This Row],[Revenue]]-(Table1[[#This Row],[Revenue]]*Table1[[#This Row],[Discount]]/100)</f>
        <v>21153.599999999999</v>
      </c>
    </row>
    <row r="1245" spans="1:12" x14ac:dyDescent="0.55000000000000004">
      <c r="A1245" t="s">
        <v>1274</v>
      </c>
      <c r="B1245" s="2">
        <v>45216</v>
      </c>
      <c r="C1245" t="s">
        <v>19</v>
      </c>
      <c r="D1245" t="s">
        <v>20</v>
      </c>
      <c r="E1245" t="s">
        <v>11</v>
      </c>
      <c r="F1245" t="s">
        <v>44</v>
      </c>
      <c r="G1245">
        <v>1949</v>
      </c>
      <c r="H1245">
        <v>6</v>
      </c>
      <c r="I1245">
        <v>24</v>
      </c>
      <c r="J1245" t="s">
        <v>25</v>
      </c>
      <c r="K1245" s="4">
        <f>Table1[[#This Row],[Sales]]*Table1[[#This Row],[Quantity]]</f>
        <v>11694</v>
      </c>
      <c r="L1245" s="4">
        <f>Table1[[#This Row],[Revenue]]-(Table1[[#This Row],[Revenue]]*Table1[[#This Row],[Discount]]/100)</f>
        <v>8887.44</v>
      </c>
    </row>
    <row r="1246" spans="1:12" x14ac:dyDescent="0.55000000000000004">
      <c r="A1246" t="s">
        <v>1275</v>
      </c>
      <c r="B1246" s="2">
        <v>45033</v>
      </c>
      <c r="C1246" t="s">
        <v>15</v>
      </c>
      <c r="D1246" t="s">
        <v>20</v>
      </c>
      <c r="E1246" t="s">
        <v>17</v>
      </c>
      <c r="F1246" t="s">
        <v>48</v>
      </c>
      <c r="G1246">
        <v>32464</v>
      </c>
      <c r="H1246">
        <v>3</v>
      </c>
      <c r="I1246">
        <v>15</v>
      </c>
      <c r="J1246" t="s">
        <v>13</v>
      </c>
      <c r="K1246" s="4">
        <f>Table1[[#This Row],[Sales]]*Table1[[#This Row],[Quantity]]</f>
        <v>97392</v>
      </c>
      <c r="L1246" s="4">
        <f>Table1[[#This Row],[Revenue]]-(Table1[[#This Row],[Revenue]]*Table1[[#This Row],[Discount]]/100)</f>
        <v>82783.199999999997</v>
      </c>
    </row>
    <row r="1247" spans="1:12" x14ac:dyDescent="0.55000000000000004">
      <c r="A1247" t="s">
        <v>1276</v>
      </c>
      <c r="B1247" s="2">
        <v>45047</v>
      </c>
      <c r="C1247" t="s">
        <v>19</v>
      </c>
      <c r="D1247" t="s">
        <v>37</v>
      </c>
      <c r="E1247" t="s">
        <v>17</v>
      </c>
      <c r="F1247" t="s">
        <v>12</v>
      </c>
      <c r="G1247">
        <v>48232</v>
      </c>
      <c r="H1247">
        <v>10</v>
      </c>
      <c r="I1247">
        <v>29</v>
      </c>
      <c r="J1247" t="s">
        <v>22</v>
      </c>
      <c r="K1247" s="4">
        <f>Table1[[#This Row],[Sales]]*Table1[[#This Row],[Quantity]]</f>
        <v>482320</v>
      </c>
      <c r="L1247" s="4">
        <f>Table1[[#This Row],[Revenue]]-(Table1[[#This Row],[Revenue]]*Table1[[#This Row],[Discount]]/100)</f>
        <v>342447.2</v>
      </c>
    </row>
    <row r="1248" spans="1:12" x14ac:dyDescent="0.55000000000000004">
      <c r="A1248" t="s">
        <v>1277</v>
      </c>
      <c r="B1248" s="2">
        <v>45175</v>
      </c>
      <c r="C1248" t="s">
        <v>31</v>
      </c>
      <c r="D1248" t="s">
        <v>16</v>
      </c>
      <c r="E1248" t="s">
        <v>17</v>
      </c>
      <c r="F1248" t="s">
        <v>48</v>
      </c>
      <c r="G1248">
        <v>6224</v>
      </c>
      <c r="H1248">
        <v>4</v>
      </c>
      <c r="I1248">
        <v>24</v>
      </c>
      <c r="J1248" t="s">
        <v>22</v>
      </c>
      <c r="K1248" s="4">
        <f>Table1[[#This Row],[Sales]]*Table1[[#This Row],[Quantity]]</f>
        <v>24896</v>
      </c>
      <c r="L1248" s="4">
        <f>Table1[[#This Row],[Revenue]]-(Table1[[#This Row],[Revenue]]*Table1[[#This Row],[Discount]]/100)</f>
        <v>18920.96</v>
      </c>
    </row>
    <row r="1249" spans="1:12" x14ac:dyDescent="0.55000000000000004">
      <c r="A1249" t="s">
        <v>1278</v>
      </c>
      <c r="B1249" s="2">
        <v>45182</v>
      </c>
      <c r="C1249" t="s">
        <v>31</v>
      </c>
      <c r="D1249" t="s">
        <v>20</v>
      </c>
      <c r="E1249" t="s">
        <v>11</v>
      </c>
      <c r="F1249" t="s">
        <v>44</v>
      </c>
      <c r="G1249">
        <v>7597</v>
      </c>
      <c r="H1249">
        <v>4</v>
      </c>
      <c r="I1249">
        <v>15</v>
      </c>
      <c r="J1249" t="s">
        <v>13</v>
      </c>
      <c r="K1249" s="4">
        <f>Table1[[#This Row],[Sales]]*Table1[[#This Row],[Quantity]]</f>
        <v>30388</v>
      </c>
      <c r="L1249" s="4">
        <f>Table1[[#This Row],[Revenue]]-(Table1[[#This Row],[Revenue]]*Table1[[#This Row],[Discount]]/100)</f>
        <v>25829.8</v>
      </c>
    </row>
    <row r="1250" spans="1:12" x14ac:dyDescent="0.55000000000000004">
      <c r="A1250" t="s">
        <v>1279</v>
      </c>
      <c r="B1250" s="2">
        <v>45222</v>
      </c>
      <c r="C1250" t="s">
        <v>24</v>
      </c>
      <c r="D1250" t="s">
        <v>27</v>
      </c>
      <c r="E1250" t="s">
        <v>17</v>
      </c>
      <c r="F1250" t="s">
        <v>29</v>
      </c>
      <c r="G1250">
        <v>10818</v>
      </c>
      <c r="H1250">
        <v>9</v>
      </c>
      <c r="I1250">
        <v>21</v>
      </c>
      <c r="J1250" t="s">
        <v>25</v>
      </c>
      <c r="K1250" s="4">
        <f>Table1[[#This Row],[Sales]]*Table1[[#This Row],[Quantity]]</f>
        <v>97362</v>
      </c>
      <c r="L1250" s="4">
        <f>Table1[[#This Row],[Revenue]]-(Table1[[#This Row],[Revenue]]*Table1[[#This Row],[Discount]]/100)</f>
        <v>76915.98</v>
      </c>
    </row>
    <row r="1251" spans="1:12" x14ac:dyDescent="0.55000000000000004">
      <c r="A1251" t="s">
        <v>1280</v>
      </c>
      <c r="B1251" s="2">
        <v>45064</v>
      </c>
      <c r="C1251" t="s">
        <v>15</v>
      </c>
      <c r="D1251" t="s">
        <v>46</v>
      </c>
      <c r="E1251" t="s">
        <v>11</v>
      </c>
      <c r="F1251" t="s">
        <v>48</v>
      </c>
      <c r="G1251">
        <v>3446</v>
      </c>
      <c r="H1251">
        <v>3</v>
      </c>
      <c r="I1251">
        <v>20</v>
      </c>
      <c r="J1251" t="s">
        <v>22</v>
      </c>
      <c r="K1251" s="4">
        <f>Table1[[#This Row],[Sales]]*Table1[[#This Row],[Quantity]]</f>
        <v>10338</v>
      </c>
      <c r="L1251" s="4">
        <f>Table1[[#This Row],[Revenue]]-(Table1[[#This Row],[Revenue]]*Table1[[#This Row],[Discount]]/100)</f>
        <v>8270.4</v>
      </c>
    </row>
    <row r="1252" spans="1:12" x14ac:dyDescent="0.55000000000000004">
      <c r="A1252" t="s">
        <v>1281</v>
      </c>
      <c r="B1252" s="2">
        <v>44968</v>
      </c>
      <c r="C1252" t="s">
        <v>19</v>
      </c>
      <c r="D1252" t="s">
        <v>27</v>
      </c>
      <c r="E1252" t="s">
        <v>11</v>
      </c>
      <c r="F1252" t="s">
        <v>29</v>
      </c>
      <c r="G1252">
        <v>23455</v>
      </c>
      <c r="H1252">
        <v>4</v>
      </c>
      <c r="I1252">
        <v>30</v>
      </c>
      <c r="J1252" t="s">
        <v>22</v>
      </c>
      <c r="K1252" s="4">
        <f>Table1[[#This Row],[Sales]]*Table1[[#This Row],[Quantity]]</f>
        <v>93820</v>
      </c>
      <c r="L1252" s="4">
        <f>Table1[[#This Row],[Revenue]]-(Table1[[#This Row],[Revenue]]*Table1[[#This Row],[Discount]]/100)</f>
        <v>65674</v>
      </c>
    </row>
    <row r="1253" spans="1:12" x14ac:dyDescent="0.55000000000000004">
      <c r="A1253" t="s">
        <v>1282</v>
      </c>
      <c r="B1253" s="2">
        <v>45097</v>
      </c>
      <c r="C1253" t="s">
        <v>31</v>
      </c>
      <c r="D1253" t="s">
        <v>16</v>
      </c>
      <c r="E1253" t="s">
        <v>17</v>
      </c>
      <c r="F1253" t="s">
        <v>29</v>
      </c>
      <c r="G1253">
        <v>48108</v>
      </c>
      <c r="H1253">
        <v>1</v>
      </c>
      <c r="I1253">
        <v>14</v>
      </c>
      <c r="J1253" t="s">
        <v>22</v>
      </c>
      <c r="K1253" s="4">
        <f>Table1[[#This Row],[Sales]]*Table1[[#This Row],[Quantity]]</f>
        <v>48108</v>
      </c>
      <c r="L1253" s="4">
        <f>Table1[[#This Row],[Revenue]]-(Table1[[#This Row],[Revenue]]*Table1[[#This Row],[Discount]]/100)</f>
        <v>41372.879999999997</v>
      </c>
    </row>
    <row r="1254" spans="1:12" x14ac:dyDescent="0.55000000000000004">
      <c r="A1254" t="s">
        <v>1283</v>
      </c>
      <c r="B1254" s="2">
        <v>45288</v>
      </c>
      <c r="C1254" t="s">
        <v>31</v>
      </c>
      <c r="D1254" t="s">
        <v>16</v>
      </c>
      <c r="E1254" t="s">
        <v>11</v>
      </c>
      <c r="F1254" t="s">
        <v>44</v>
      </c>
      <c r="G1254">
        <v>22366</v>
      </c>
      <c r="H1254">
        <v>10</v>
      </c>
      <c r="I1254">
        <v>25</v>
      </c>
      <c r="J1254" t="s">
        <v>22</v>
      </c>
      <c r="K1254" s="4">
        <f>Table1[[#This Row],[Sales]]*Table1[[#This Row],[Quantity]]</f>
        <v>223660</v>
      </c>
      <c r="L1254" s="4">
        <f>Table1[[#This Row],[Revenue]]-(Table1[[#This Row],[Revenue]]*Table1[[#This Row],[Discount]]/100)</f>
        <v>167745</v>
      </c>
    </row>
    <row r="1255" spans="1:12" x14ac:dyDescent="0.55000000000000004">
      <c r="A1255" t="s">
        <v>1284</v>
      </c>
      <c r="B1255" s="2">
        <v>45112</v>
      </c>
      <c r="C1255" t="s">
        <v>15</v>
      </c>
      <c r="D1255" t="s">
        <v>46</v>
      </c>
      <c r="E1255" t="s">
        <v>11</v>
      </c>
      <c r="F1255" t="s">
        <v>21</v>
      </c>
      <c r="G1255">
        <v>46242</v>
      </c>
      <c r="H1255">
        <v>1</v>
      </c>
      <c r="I1255">
        <v>11</v>
      </c>
      <c r="J1255" t="s">
        <v>22</v>
      </c>
      <c r="K1255" s="4">
        <f>Table1[[#This Row],[Sales]]*Table1[[#This Row],[Quantity]]</f>
        <v>46242</v>
      </c>
      <c r="L1255" s="4">
        <f>Table1[[#This Row],[Revenue]]-(Table1[[#This Row],[Revenue]]*Table1[[#This Row],[Discount]]/100)</f>
        <v>41155.379999999997</v>
      </c>
    </row>
    <row r="1256" spans="1:12" x14ac:dyDescent="0.55000000000000004">
      <c r="A1256" t="s">
        <v>1285</v>
      </c>
      <c r="B1256" s="2">
        <v>45038</v>
      </c>
      <c r="C1256" t="s">
        <v>19</v>
      </c>
      <c r="D1256" t="s">
        <v>20</v>
      </c>
      <c r="E1256" t="s">
        <v>17</v>
      </c>
      <c r="F1256" t="s">
        <v>12</v>
      </c>
      <c r="G1256">
        <v>43473</v>
      </c>
      <c r="H1256">
        <v>3</v>
      </c>
      <c r="I1256">
        <v>2</v>
      </c>
      <c r="J1256" t="s">
        <v>25</v>
      </c>
      <c r="K1256" s="4">
        <f>Table1[[#This Row],[Sales]]*Table1[[#This Row],[Quantity]]</f>
        <v>130419</v>
      </c>
      <c r="L1256" s="4">
        <f>Table1[[#This Row],[Revenue]]-(Table1[[#This Row],[Revenue]]*Table1[[#This Row],[Discount]]/100)</f>
        <v>127810.62</v>
      </c>
    </row>
    <row r="1257" spans="1:12" x14ac:dyDescent="0.55000000000000004">
      <c r="A1257" t="s">
        <v>1286</v>
      </c>
      <c r="B1257" s="2">
        <v>45234</v>
      </c>
      <c r="C1257" t="s">
        <v>15</v>
      </c>
      <c r="D1257" t="s">
        <v>27</v>
      </c>
      <c r="E1257" t="s">
        <v>17</v>
      </c>
      <c r="F1257" t="s">
        <v>21</v>
      </c>
      <c r="G1257">
        <v>36206</v>
      </c>
      <c r="H1257">
        <v>1</v>
      </c>
      <c r="I1257">
        <v>26</v>
      </c>
      <c r="J1257" t="s">
        <v>22</v>
      </c>
      <c r="K1257" s="4">
        <f>Table1[[#This Row],[Sales]]*Table1[[#This Row],[Quantity]]</f>
        <v>36206</v>
      </c>
      <c r="L1257" s="4">
        <f>Table1[[#This Row],[Revenue]]-(Table1[[#This Row],[Revenue]]*Table1[[#This Row],[Discount]]/100)</f>
        <v>26792.440000000002</v>
      </c>
    </row>
    <row r="1258" spans="1:12" x14ac:dyDescent="0.55000000000000004">
      <c r="A1258" t="s">
        <v>1287</v>
      </c>
      <c r="B1258" s="2">
        <v>45232</v>
      </c>
      <c r="C1258" t="s">
        <v>15</v>
      </c>
      <c r="D1258" t="s">
        <v>37</v>
      </c>
      <c r="E1258" t="s">
        <v>17</v>
      </c>
      <c r="F1258" t="s">
        <v>34</v>
      </c>
      <c r="G1258">
        <v>22546</v>
      </c>
      <c r="H1258">
        <v>2</v>
      </c>
      <c r="I1258">
        <v>24</v>
      </c>
      <c r="J1258" t="s">
        <v>13</v>
      </c>
      <c r="K1258" s="4">
        <f>Table1[[#This Row],[Sales]]*Table1[[#This Row],[Quantity]]</f>
        <v>45092</v>
      </c>
      <c r="L1258" s="4">
        <f>Table1[[#This Row],[Revenue]]-(Table1[[#This Row],[Revenue]]*Table1[[#This Row],[Discount]]/100)</f>
        <v>34269.919999999998</v>
      </c>
    </row>
    <row r="1259" spans="1:12" x14ac:dyDescent="0.55000000000000004">
      <c r="A1259" t="s">
        <v>1288</v>
      </c>
      <c r="B1259" s="2">
        <v>45119</v>
      </c>
      <c r="C1259" t="s">
        <v>15</v>
      </c>
      <c r="D1259" t="s">
        <v>37</v>
      </c>
      <c r="E1259" t="s">
        <v>11</v>
      </c>
      <c r="F1259" t="s">
        <v>48</v>
      </c>
      <c r="G1259">
        <v>4389</v>
      </c>
      <c r="H1259">
        <v>10</v>
      </c>
      <c r="I1259">
        <v>2</v>
      </c>
      <c r="J1259" t="s">
        <v>13</v>
      </c>
      <c r="K1259" s="4">
        <f>Table1[[#This Row],[Sales]]*Table1[[#This Row],[Quantity]]</f>
        <v>43890</v>
      </c>
      <c r="L1259" s="4">
        <f>Table1[[#This Row],[Revenue]]-(Table1[[#This Row],[Revenue]]*Table1[[#This Row],[Discount]]/100)</f>
        <v>43012.2</v>
      </c>
    </row>
    <row r="1260" spans="1:12" x14ac:dyDescent="0.55000000000000004">
      <c r="A1260" t="s">
        <v>1289</v>
      </c>
      <c r="B1260" s="2">
        <v>44937</v>
      </c>
      <c r="C1260" t="s">
        <v>24</v>
      </c>
      <c r="D1260" t="s">
        <v>16</v>
      </c>
      <c r="E1260" t="s">
        <v>11</v>
      </c>
      <c r="F1260" t="s">
        <v>38</v>
      </c>
      <c r="G1260">
        <v>48320</v>
      </c>
      <c r="H1260">
        <v>8</v>
      </c>
      <c r="I1260">
        <v>26</v>
      </c>
      <c r="J1260" t="s">
        <v>13</v>
      </c>
      <c r="K1260" s="4">
        <f>Table1[[#This Row],[Sales]]*Table1[[#This Row],[Quantity]]</f>
        <v>386560</v>
      </c>
      <c r="L1260" s="4">
        <f>Table1[[#This Row],[Revenue]]-(Table1[[#This Row],[Revenue]]*Table1[[#This Row],[Discount]]/100)</f>
        <v>286054.40000000002</v>
      </c>
    </row>
    <row r="1261" spans="1:12" x14ac:dyDescent="0.55000000000000004">
      <c r="A1261" t="s">
        <v>1290</v>
      </c>
      <c r="B1261" s="2">
        <v>45029</v>
      </c>
      <c r="C1261" t="s">
        <v>31</v>
      </c>
      <c r="D1261" t="s">
        <v>27</v>
      </c>
      <c r="E1261" t="s">
        <v>11</v>
      </c>
      <c r="F1261" t="s">
        <v>12</v>
      </c>
      <c r="G1261">
        <v>49762</v>
      </c>
      <c r="H1261">
        <v>10</v>
      </c>
      <c r="I1261">
        <v>2</v>
      </c>
      <c r="J1261" t="s">
        <v>25</v>
      </c>
      <c r="K1261" s="4">
        <f>Table1[[#This Row],[Sales]]*Table1[[#This Row],[Quantity]]</f>
        <v>497620</v>
      </c>
      <c r="L1261" s="4">
        <f>Table1[[#This Row],[Revenue]]-(Table1[[#This Row],[Revenue]]*Table1[[#This Row],[Discount]]/100)</f>
        <v>487667.6</v>
      </c>
    </row>
    <row r="1262" spans="1:12" x14ac:dyDescent="0.55000000000000004">
      <c r="A1262" t="s">
        <v>1291</v>
      </c>
      <c r="B1262" s="2">
        <v>44934</v>
      </c>
      <c r="C1262" t="s">
        <v>15</v>
      </c>
      <c r="D1262" t="s">
        <v>27</v>
      </c>
      <c r="E1262" t="s">
        <v>17</v>
      </c>
      <c r="F1262" t="s">
        <v>29</v>
      </c>
      <c r="G1262">
        <v>19531</v>
      </c>
      <c r="H1262">
        <v>2</v>
      </c>
      <c r="I1262">
        <v>5</v>
      </c>
      <c r="J1262" t="s">
        <v>22</v>
      </c>
      <c r="K1262" s="4">
        <f>Table1[[#This Row],[Sales]]*Table1[[#This Row],[Quantity]]</f>
        <v>39062</v>
      </c>
      <c r="L1262" s="4">
        <f>Table1[[#This Row],[Revenue]]-(Table1[[#This Row],[Revenue]]*Table1[[#This Row],[Discount]]/100)</f>
        <v>37108.9</v>
      </c>
    </row>
    <row r="1263" spans="1:12" x14ac:dyDescent="0.55000000000000004">
      <c r="A1263" t="s">
        <v>1292</v>
      </c>
      <c r="B1263" s="2">
        <v>45216</v>
      </c>
      <c r="C1263" t="s">
        <v>31</v>
      </c>
      <c r="D1263" t="s">
        <v>46</v>
      </c>
      <c r="E1263" t="s">
        <v>11</v>
      </c>
      <c r="F1263" t="s">
        <v>48</v>
      </c>
      <c r="G1263">
        <v>895</v>
      </c>
      <c r="H1263">
        <v>9</v>
      </c>
      <c r="I1263">
        <v>12</v>
      </c>
      <c r="J1263" t="s">
        <v>13</v>
      </c>
      <c r="K1263" s="4">
        <f>Table1[[#This Row],[Sales]]*Table1[[#This Row],[Quantity]]</f>
        <v>8055</v>
      </c>
      <c r="L1263" s="4">
        <f>Table1[[#This Row],[Revenue]]-(Table1[[#This Row],[Revenue]]*Table1[[#This Row],[Discount]]/100)</f>
        <v>7088.4</v>
      </c>
    </row>
    <row r="1264" spans="1:12" x14ac:dyDescent="0.55000000000000004">
      <c r="A1264" t="s">
        <v>1293</v>
      </c>
      <c r="B1264" s="2">
        <v>45090</v>
      </c>
      <c r="C1264" t="s">
        <v>19</v>
      </c>
      <c r="D1264" t="s">
        <v>37</v>
      </c>
      <c r="E1264" t="s">
        <v>11</v>
      </c>
      <c r="F1264" t="s">
        <v>38</v>
      </c>
      <c r="G1264">
        <v>5304</v>
      </c>
      <c r="H1264">
        <v>9</v>
      </c>
      <c r="I1264">
        <v>0</v>
      </c>
      <c r="J1264" t="s">
        <v>13</v>
      </c>
      <c r="K1264" s="4">
        <f>Table1[[#This Row],[Sales]]*Table1[[#This Row],[Quantity]]</f>
        <v>47736</v>
      </c>
      <c r="L1264" s="4">
        <f>Table1[[#This Row],[Revenue]]-(Table1[[#This Row],[Revenue]]*Table1[[#This Row],[Discount]]/100)</f>
        <v>47736</v>
      </c>
    </row>
    <row r="1265" spans="1:12" x14ac:dyDescent="0.55000000000000004">
      <c r="A1265" t="s">
        <v>1294</v>
      </c>
      <c r="B1265" s="2">
        <v>44937</v>
      </c>
      <c r="C1265" t="s">
        <v>19</v>
      </c>
      <c r="D1265" t="s">
        <v>20</v>
      </c>
      <c r="E1265" t="s">
        <v>11</v>
      </c>
      <c r="F1265" t="s">
        <v>21</v>
      </c>
      <c r="G1265">
        <v>49875</v>
      </c>
      <c r="H1265">
        <v>7</v>
      </c>
      <c r="I1265">
        <v>11</v>
      </c>
      <c r="J1265" t="s">
        <v>13</v>
      </c>
      <c r="K1265" s="4">
        <f>Table1[[#This Row],[Sales]]*Table1[[#This Row],[Quantity]]</f>
        <v>349125</v>
      </c>
      <c r="L1265" s="4">
        <f>Table1[[#This Row],[Revenue]]-(Table1[[#This Row],[Revenue]]*Table1[[#This Row],[Discount]]/100)</f>
        <v>310721.25</v>
      </c>
    </row>
    <row r="1266" spans="1:12" x14ac:dyDescent="0.55000000000000004">
      <c r="A1266" t="s">
        <v>1295</v>
      </c>
      <c r="B1266" s="2">
        <v>45073</v>
      </c>
      <c r="C1266" t="s">
        <v>24</v>
      </c>
      <c r="D1266" t="s">
        <v>16</v>
      </c>
      <c r="E1266" t="s">
        <v>17</v>
      </c>
      <c r="F1266" t="s">
        <v>21</v>
      </c>
      <c r="G1266">
        <v>29797</v>
      </c>
      <c r="H1266">
        <v>9</v>
      </c>
      <c r="I1266">
        <v>13</v>
      </c>
      <c r="J1266" t="s">
        <v>13</v>
      </c>
      <c r="K1266" s="4">
        <f>Table1[[#This Row],[Sales]]*Table1[[#This Row],[Quantity]]</f>
        <v>268173</v>
      </c>
      <c r="L1266" s="4">
        <f>Table1[[#This Row],[Revenue]]-(Table1[[#This Row],[Revenue]]*Table1[[#This Row],[Discount]]/100)</f>
        <v>233310.51</v>
      </c>
    </row>
    <row r="1267" spans="1:12" x14ac:dyDescent="0.55000000000000004">
      <c r="A1267" t="s">
        <v>1296</v>
      </c>
      <c r="B1267" s="2">
        <v>44956</v>
      </c>
      <c r="C1267" t="s">
        <v>24</v>
      </c>
      <c r="D1267" t="s">
        <v>16</v>
      </c>
      <c r="E1267" t="s">
        <v>17</v>
      </c>
      <c r="F1267" t="s">
        <v>44</v>
      </c>
      <c r="G1267">
        <v>24000</v>
      </c>
      <c r="H1267">
        <v>8</v>
      </c>
      <c r="I1267">
        <v>13</v>
      </c>
      <c r="J1267" t="s">
        <v>22</v>
      </c>
      <c r="K1267" s="4">
        <f>Table1[[#This Row],[Sales]]*Table1[[#This Row],[Quantity]]</f>
        <v>192000</v>
      </c>
      <c r="L1267" s="4">
        <f>Table1[[#This Row],[Revenue]]-(Table1[[#This Row],[Revenue]]*Table1[[#This Row],[Discount]]/100)</f>
        <v>167040</v>
      </c>
    </row>
    <row r="1268" spans="1:12" x14ac:dyDescent="0.55000000000000004">
      <c r="A1268" t="s">
        <v>1297</v>
      </c>
      <c r="B1268" s="2">
        <v>45007</v>
      </c>
      <c r="C1268" t="s">
        <v>15</v>
      </c>
      <c r="D1268" t="s">
        <v>27</v>
      </c>
      <c r="E1268" t="s">
        <v>11</v>
      </c>
      <c r="F1268" t="s">
        <v>21</v>
      </c>
      <c r="G1268">
        <v>42922</v>
      </c>
      <c r="H1268">
        <v>2</v>
      </c>
      <c r="I1268">
        <v>19</v>
      </c>
      <c r="J1268" t="s">
        <v>22</v>
      </c>
      <c r="K1268" s="4">
        <f>Table1[[#This Row],[Sales]]*Table1[[#This Row],[Quantity]]</f>
        <v>85844</v>
      </c>
      <c r="L1268" s="4">
        <f>Table1[[#This Row],[Revenue]]-(Table1[[#This Row],[Revenue]]*Table1[[#This Row],[Discount]]/100)</f>
        <v>69533.64</v>
      </c>
    </row>
    <row r="1269" spans="1:12" x14ac:dyDescent="0.55000000000000004">
      <c r="A1269" t="s">
        <v>1298</v>
      </c>
      <c r="B1269" s="2">
        <v>45243</v>
      </c>
      <c r="C1269" t="s">
        <v>19</v>
      </c>
      <c r="D1269" t="s">
        <v>37</v>
      </c>
      <c r="E1269" t="s">
        <v>11</v>
      </c>
      <c r="F1269" t="s">
        <v>29</v>
      </c>
      <c r="G1269">
        <v>2457</v>
      </c>
      <c r="H1269">
        <v>3</v>
      </c>
      <c r="I1269">
        <v>24</v>
      </c>
      <c r="J1269" t="s">
        <v>22</v>
      </c>
      <c r="K1269" s="4">
        <f>Table1[[#This Row],[Sales]]*Table1[[#This Row],[Quantity]]</f>
        <v>7371</v>
      </c>
      <c r="L1269" s="4">
        <f>Table1[[#This Row],[Revenue]]-(Table1[[#This Row],[Revenue]]*Table1[[#This Row],[Discount]]/100)</f>
        <v>5601.96</v>
      </c>
    </row>
    <row r="1270" spans="1:12" x14ac:dyDescent="0.55000000000000004">
      <c r="A1270" t="s">
        <v>1299</v>
      </c>
      <c r="B1270" s="2">
        <v>45161</v>
      </c>
      <c r="C1270" t="s">
        <v>24</v>
      </c>
      <c r="D1270" t="s">
        <v>37</v>
      </c>
      <c r="E1270" t="s">
        <v>11</v>
      </c>
      <c r="F1270" t="s">
        <v>12</v>
      </c>
      <c r="G1270">
        <v>5586</v>
      </c>
      <c r="H1270">
        <v>9</v>
      </c>
      <c r="I1270">
        <v>8</v>
      </c>
      <c r="J1270" t="s">
        <v>13</v>
      </c>
      <c r="K1270" s="4">
        <f>Table1[[#This Row],[Sales]]*Table1[[#This Row],[Quantity]]</f>
        <v>50274</v>
      </c>
      <c r="L1270" s="4">
        <f>Table1[[#This Row],[Revenue]]-(Table1[[#This Row],[Revenue]]*Table1[[#This Row],[Discount]]/100)</f>
        <v>46252.08</v>
      </c>
    </row>
    <row r="1271" spans="1:12" x14ac:dyDescent="0.55000000000000004">
      <c r="A1271" t="s">
        <v>1300</v>
      </c>
      <c r="B1271" s="2">
        <v>45145</v>
      </c>
      <c r="C1271" t="s">
        <v>15</v>
      </c>
      <c r="D1271" t="s">
        <v>37</v>
      </c>
      <c r="E1271" t="s">
        <v>11</v>
      </c>
      <c r="F1271" t="s">
        <v>38</v>
      </c>
      <c r="G1271">
        <v>18852</v>
      </c>
      <c r="H1271">
        <v>5</v>
      </c>
      <c r="I1271">
        <v>14</v>
      </c>
      <c r="J1271" t="s">
        <v>25</v>
      </c>
      <c r="K1271" s="4">
        <f>Table1[[#This Row],[Sales]]*Table1[[#This Row],[Quantity]]</f>
        <v>94260</v>
      </c>
      <c r="L1271" s="4">
        <f>Table1[[#This Row],[Revenue]]-(Table1[[#This Row],[Revenue]]*Table1[[#This Row],[Discount]]/100)</f>
        <v>81063.600000000006</v>
      </c>
    </row>
    <row r="1272" spans="1:12" x14ac:dyDescent="0.55000000000000004">
      <c r="A1272" t="s">
        <v>1301</v>
      </c>
      <c r="B1272" s="2">
        <v>44992</v>
      </c>
      <c r="C1272" t="s">
        <v>19</v>
      </c>
      <c r="D1272" t="s">
        <v>46</v>
      </c>
      <c r="E1272" t="s">
        <v>17</v>
      </c>
      <c r="F1272" t="s">
        <v>44</v>
      </c>
      <c r="G1272">
        <v>2432</v>
      </c>
      <c r="H1272">
        <v>10</v>
      </c>
      <c r="I1272">
        <v>26</v>
      </c>
      <c r="J1272" t="s">
        <v>22</v>
      </c>
      <c r="K1272" s="4">
        <f>Table1[[#This Row],[Sales]]*Table1[[#This Row],[Quantity]]</f>
        <v>24320</v>
      </c>
      <c r="L1272" s="4">
        <f>Table1[[#This Row],[Revenue]]-(Table1[[#This Row],[Revenue]]*Table1[[#This Row],[Discount]]/100)</f>
        <v>17996.8</v>
      </c>
    </row>
    <row r="1273" spans="1:12" x14ac:dyDescent="0.55000000000000004">
      <c r="A1273" t="s">
        <v>1302</v>
      </c>
      <c r="B1273" s="2">
        <v>44934</v>
      </c>
      <c r="C1273" t="s">
        <v>24</v>
      </c>
      <c r="D1273" t="s">
        <v>16</v>
      </c>
      <c r="E1273" t="s">
        <v>17</v>
      </c>
      <c r="F1273" t="s">
        <v>34</v>
      </c>
      <c r="G1273">
        <v>30520</v>
      </c>
      <c r="H1273">
        <v>1</v>
      </c>
      <c r="I1273">
        <v>24</v>
      </c>
      <c r="J1273" t="s">
        <v>25</v>
      </c>
      <c r="K1273" s="4">
        <f>Table1[[#This Row],[Sales]]*Table1[[#This Row],[Quantity]]</f>
        <v>30520</v>
      </c>
      <c r="L1273" s="4">
        <f>Table1[[#This Row],[Revenue]]-(Table1[[#This Row],[Revenue]]*Table1[[#This Row],[Discount]]/100)</f>
        <v>23195.200000000001</v>
      </c>
    </row>
    <row r="1274" spans="1:12" x14ac:dyDescent="0.55000000000000004">
      <c r="A1274" t="s">
        <v>1303</v>
      </c>
      <c r="B1274" s="2">
        <v>45257</v>
      </c>
      <c r="C1274" t="s">
        <v>19</v>
      </c>
      <c r="D1274" t="s">
        <v>27</v>
      </c>
      <c r="E1274" t="s">
        <v>11</v>
      </c>
      <c r="F1274" t="s">
        <v>48</v>
      </c>
      <c r="G1274">
        <v>21531</v>
      </c>
      <c r="H1274">
        <v>1</v>
      </c>
      <c r="I1274">
        <v>1</v>
      </c>
      <c r="J1274" t="s">
        <v>25</v>
      </c>
      <c r="K1274" s="4">
        <f>Table1[[#This Row],[Sales]]*Table1[[#This Row],[Quantity]]</f>
        <v>21531</v>
      </c>
      <c r="L1274" s="4">
        <f>Table1[[#This Row],[Revenue]]-(Table1[[#This Row],[Revenue]]*Table1[[#This Row],[Discount]]/100)</f>
        <v>21315.69</v>
      </c>
    </row>
    <row r="1275" spans="1:12" x14ac:dyDescent="0.55000000000000004">
      <c r="A1275" t="s">
        <v>1304</v>
      </c>
      <c r="B1275" s="2">
        <v>45088</v>
      </c>
      <c r="C1275" t="s">
        <v>19</v>
      </c>
      <c r="D1275" t="s">
        <v>20</v>
      </c>
      <c r="E1275" t="s">
        <v>17</v>
      </c>
      <c r="F1275" t="s">
        <v>48</v>
      </c>
      <c r="G1275">
        <v>27668</v>
      </c>
      <c r="H1275">
        <v>10</v>
      </c>
      <c r="I1275">
        <v>14</v>
      </c>
      <c r="J1275" t="s">
        <v>13</v>
      </c>
      <c r="K1275" s="4">
        <f>Table1[[#This Row],[Sales]]*Table1[[#This Row],[Quantity]]</f>
        <v>276680</v>
      </c>
      <c r="L1275" s="4">
        <f>Table1[[#This Row],[Revenue]]-(Table1[[#This Row],[Revenue]]*Table1[[#This Row],[Discount]]/100)</f>
        <v>237944.8</v>
      </c>
    </row>
    <row r="1276" spans="1:12" x14ac:dyDescent="0.55000000000000004">
      <c r="A1276" t="s">
        <v>1305</v>
      </c>
      <c r="B1276" s="2">
        <v>45052</v>
      </c>
      <c r="C1276" t="s">
        <v>15</v>
      </c>
      <c r="D1276" t="s">
        <v>16</v>
      </c>
      <c r="E1276" t="s">
        <v>17</v>
      </c>
      <c r="F1276" t="s">
        <v>48</v>
      </c>
      <c r="G1276">
        <v>1430</v>
      </c>
      <c r="H1276">
        <v>6</v>
      </c>
      <c r="I1276">
        <v>6</v>
      </c>
      <c r="J1276" t="s">
        <v>13</v>
      </c>
      <c r="K1276" s="4">
        <f>Table1[[#This Row],[Sales]]*Table1[[#This Row],[Quantity]]</f>
        <v>8580</v>
      </c>
      <c r="L1276" s="4">
        <f>Table1[[#This Row],[Revenue]]-(Table1[[#This Row],[Revenue]]*Table1[[#This Row],[Discount]]/100)</f>
        <v>8065.2</v>
      </c>
    </row>
    <row r="1277" spans="1:12" x14ac:dyDescent="0.55000000000000004">
      <c r="A1277" t="s">
        <v>1306</v>
      </c>
      <c r="B1277" s="2">
        <v>44993</v>
      </c>
      <c r="C1277" t="s">
        <v>15</v>
      </c>
      <c r="D1277" t="s">
        <v>37</v>
      </c>
      <c r="E1277" t="s">
        <v>11</v>
      </c>
      <c r="F1277" t="s">
        <v>21</v>
      </c>
      <c r="G1277">
        <v>5208</v>
      </c>
      <c r="H1277">
        <v>3</v>
      </c>
      <c r="I1277">
        <v>16</v>
      </c>
      <c r="J1277" t="s">
        <v>22</v>
      </c>
      <c r="K1277" s="4">
        <f>Table1[[#This Row],[Sales]]*Table1[[#This Row],[Quantity]]</f>
        <v>15624</v>
      </c>
      <c r="L1277" s="4">
        <f>Table1[[#This Row],[Revenue]]-(Table1[[#This Row],[Revenue]]*Table1[[#This Row],[Discount]]/100)</f>
        <v>13124.16</v>
      </c>
    </row>
    <row r="1278" spans="1:12" x14ac:dyDescent="0.55000000000000004">
      <c r="A1278" t="s">
        <v>1307</v>
      </c>
      <c r="B1278" s="2">
        <v>44938</v>
      </c>
      <c r="C1278" t="s">
        <v>19</v>
      </c>
      <c r="D1278" t="s">
        <v>20</v>
      </c>
      <c r="E1278" t="s">
        <v>17</v>
      </c>
      <c r="F1278" t="s">
        <v>34</v>
      </c>
      <c r="G1278">
        <v>40475</v>
      </c>
      <c r="H1278">
        <v>8</v>
      </c>
      <c r="I1278">
        <v>13</v>
      </c>
      <c r="J1278" t="s">
        <v>22</v>
      </c>
      <c r="K1278" s="4">
        <f>Table1[[#This Row],[Sales]]*Table1[[#This Row],[Quantity]]</f>
        <v>323800</v>
      </c>
      <c r="L1278" s="4">
        <f>Table1[[#This Row],[Revenue]]-(Table1[[#This Row],[Revenue]]*Table1[[#This Row],[Discount]]/100)</f>
        <v>281706</v>
      </c>
    </row>
    <row r="1279" spans="1:12" x14ac:dyDescent="0.55000000000000004">
      <c r="A1279" t="s">
        <v>1308</v>
      </c>
      <c r="B1279" s="2">
        <v>45119</v>
      </c>
      <c r="C1279" t="s">
        <v>19</v>
      </c>
      <c r="D1279" t="s">
        <v>37</v>
      </c>
      <c r="E1279" t="s">
        <v>11</v>
      </c>
      <c r="F1279" t="s">
        <v>29</v>
      </c>
      <c r="G1279">
        <v>16578</v>
      </c>
      <c r="H1279">
        <v>4</v>
      </c>
      <c r="I1279">
        <v>24</v>
      </c>
      <c r="J1279" t="s">
        <v>22</v>
      </c>
      <c r="K1279" s="4">
        <f>Table1[[#This Row],[Sales]]*Table1[[#This Row],[Quantity]]</f>
        <v>66312</v>
      </c>
      <c r="L1279" s="4">
        <f>Table1[[#This Row],[Revenue]]-(Table1[[#This Row],[Revenue]]*Table1[[#This Row],[Discount]]/100)</f>
        <v>50397.120000000003</v>
      </c>
    </row>
    <row r="1280" spans="1:12" x14ac:dyDescent="0.55000000000000004">
      <c r="A1280" t="s">
        <v>1309</v>
      </c>
      <c r="B1280" s="2">
        <v>45104</v>
      </c>
      <c r="C1280" t="s">
        <v>31</v>
      </c>
      <c r="D1280" t="s">
        <v>46</v>
      </c>
      <c r="E1280" t="s">
        <v>11</v>
      </c>
      <c r="F1280" t="s">
        <v>44</v>
      </c>
      <c r="G1280">
        <v>12745</v>
      </c>
      <c r="H1280">
        <v>2</v>
      </c>
      <c r="I1280">
        <v>3</v>
      </c>
      <c r="J1280" t="s">
        <v>25</v>
      </c>
      <c r="K1280" s="4">
        <f>Table1[[#This Row],[Sales]]*Table1[[#This Row],[Quantity]]</f>
        <v>25490</v>
      </c>
      <c r="L1280" s="4">
        <f>Table1[[#This Row],[Revenue]]-(Table1[[#This Row],[Revenue]]*Table1[[#This Row],[Discount]]/100)</f>
        <v>24725.3</v>
      </c>
    </row>
    <row r="1281" spans="1:12" x14ac:dyDescent="0.55000000000000004">
      <c r="A1281" t="s">
        <v>1310</v>
      </c>
      <c r="B1281" s="2">
        <v>45216</v>
      </c>
      <c r="C1281" t="s">
        <v>19</v>
      </c>
      <c r="D1281" t="s">
        <v>16</v>
      </c>
      <c r="E1281" t="s">
        <v>11</v>
      </c>
      <c r="F1281" t="s">
        <v>44</v>
      </c>
      <c r="G1281">
        <v>22742</v>
      </c>
      <c r="H1281">
        <v>1</v>
      </c>
      <c r="I1281">
        <v>16</v>
      </c>
      <c r="J1281" t="s">
        <v>22</v>
      </c>
      <c r="K1281" s="4">
        <f>Table1[[#This Row],[Sales]]*Table1[[#This Row],[Quantity]]</f>
        <v>22742</v>
      </c>
      <c r="L1281" s="4">
        <f>Table1[[#This Row],[Revenue]]-(Table1[[#This Row],[Revenue]]*Table1[[#This Row],[Discount]]/100)</f>
        <v>19103.28</v>
      </c>
    </row>
    <row r="1282" spans="1:12" x14ac:dyDescent="0.55000000000000004">
      <c r="A1282" t="s">
        <v>1311</v>
      </c>
      <c r="B1282" s="2">
        <v>44950</v>
      </c>
      <c r="C1282" t="s">
        <v>19</v>
      </c>
      <c r="D1282" t="s">
        <v>20</v>
      </c>
      <c r="E1282" t="s">
        <v>17</v>
      </c>
      <c r="F1282" t="s">
        <v>44</v>
      </c>
      <c r="G1282">
        <v>46647</v>
      </c>
      <c r="H1282">
        <v>5</v>
      </c>
      <c r="I1282">
        <v>6</v>
      </c>
      <c r="J1282" t="s">
        <v>13</v>
      </c>
      <c r="K1282" s="4">
        <f>Table1[[#This Row],[Sales]]*Table1[[#This Row],[Quantity]]</f>
        <v>233235</v>
      </c>
      <c r="L1282" s="4">
        <f>Table1[[#This Row],[Revenue]]-(Table1[[#This Row],[Revenue]]*Table1[[#This Row],[Discount]]/100)</f>
        <v>219240.9</v>
      </c>
    </row>
    <row r="1283" spans="1:12" x14ac:dyDescent="0.55000000000000004">
      <c r="A1283" t="s">
        <v>1312</v>
      </c>
      <c r="B1283" s="2">
        <v>45059</v>
      </c>
      <c r="C1283" t="s">
        <v>24</v>
      </c>
      <c r="D1283" t="s">
        <v>27</v>
      </c>
      <c r="E1283" t="s">
        <v>17</v>
      </c>
      <c r="F1283" t="s">
        <v>48</v>
      </c>
      <c r="G1283">
        <v>46139</v>
      </c>
      <c r="H1283">
        <v>9</v>
      </c>
      <c r="I1283">
        <v>24</v>
      </c>
      <c r="J1283" t="s">
        <v>22</v>
      </c>
      <c r="K1283" s="4">
        <f>Table1[[#This Row],[Sales]]*Table1[[#This Row],[Quantity]]</f>
        <v>415251</v>
      </c>
      <c r="L1283" s="4">
        <f>Table1[[#This Row],[Revenue]]-(Table1[[#This Row],[Revenue]]*Table1[[#This Row],[Discount]]/100)</f>
        <v>315590.76</v>
      </c>
    </row>
    <row r="1284" spans="1:12" x14ac:dyDescent="0.55000000000000004">
      <c r="A1284" t="s">
        <v>1313</v>
      </c>
      <c r="B1284" s="2">
        <v>45025</v>
      </c>
      <c r="C1284" t="s">
        <v>31</v>
      </c>
      <c r="D1284" t="s">
        <v>16</v>
      </c>
      <c r="E1284" t="s">
        <v>11</v>
      </c>
      <c r="F1284" t="s">
        <v>29</v>
      </c>
      <c r="G1284">
        <v>10272</v>
      </c>
      <c r="H1284">
        <v>4</v>
      </c>
      <c r="I1284">
        <v>9</v>
      </c>
      <c r="J1284" t="s">
        <v>13</v>
      </c>
      <c r="K1284" s="4">
        <f>Table1[[#This Row],[Sales]]*Table1[[#This Row],[Quantity]]</f>
        <v>41088</v>
      </c>
      <c r="L1284" s="4">
        <f>Table1[[#This Row],[Revenue]]-(Table1[[#This Row],[Revenue]]*Table1[[#This Row],[Discount]]/100)</f>
        <v>37390.080000000002</v>
      </c>
    </row>
    <row r="1285" spans="1:12" x14ac:dyDescent="0.55000000000000004">
      <c r="A1285" t="s">
        <v>1314</v>
      </c>
      <c r="B1285" s="2">
        <v>44978</v>
      </c>
      <c r="C1285" t="s">
        <v>15</v>
      </c>
      <c r="D1285" t="s">
        <v>46</v>
      </c>
      <c r="E1285" t="s">
        <v>17</v>
      </c>
      <c r="F1285" t="s">
        <v>29</v>
      </c>
      <c r="G1285">
        <v>43023</v>
      </c>
      <c r="H1285">
        <v>5</v>
      </c>
      <c r="I1285">
        <v>23</v>
      </c>
      <c r="J1285" t="s">
        <v>25</v>
      </c>
      <c r="K1285" s="4">
        <f>Table1[[#This Row],[Sales]]*Table1[[#This Row],[Quantity]]</f>
        <v>215115</v>
      </c>
      <c r="L1285" s="4">
        <f>Table1[[#This Row],[Revenue]]-(Table1[[#This Row],[Revenue]]*Table1[[#This Row],[Discount]]/100)</f>
        <v>165638.54999999999</v>
      </c>
    </row>
    <row r="1286" spans="1:12" x14ac:dyDescent="0.55000000000000004">
      <c r="A1286" t="s">
        <v>1315</v>
      </c>
      <c r="B1286" s="2">
        <v>45116</v>
      </c>
      <c r="C1286" t="s">
        <v>19</v>
      </c>
      <c r="D1286" t="s">
        <v>27</v>
      </c>
      <c r="E1286" t="s">
        <v>17</v>
      </c>
      <c r="F1286" t="s">
        <v>12</v>
      </c>
      <c r="G1286">
        <v>42117</v>
      </c>
      <c r="H1286">
        <v>2</v>
      </c>
      <c r="I1286">
        <v>26</v>
      </c>
      <c r="J1286" t="s">
        <v>25</v>
      </c>
      <c r="K1286" s="4">
        <f>Table1[[#This Row],[Sales]]*Table1[[#This Row],[Quantity]]</f>
        <v>84234</v>
      </c>
      <c r="L1286" s="4">
        <f>Table1[[#This Row],[Revenue]]-(Table1[[#This Row],[Revenue]]*Table1[[#This Row],[Discount]]/100)</f>
        <v>62333.16</v>
      </c>
    </row>
    <row r="1287" spans="1:12" x14ac:dyDescent="0.55000000000000004">
      <c r="A1287" t="s">
        <v>1316</v>
      </c>
      <c r="B1287" s="2">
        <v>45171</v>
      </c>
      <c r="C1287" t="s">
        <v>15</v>
      </c>
      <c r="D1287" t="s">
        <v>20</v>
      </c>
      <c r="E1287" t="s">
        <v>17</v>
      </c>
      <c r="F1287" t="s">
        <v>44</v>
      </c>
      <c r="G1287">
        <v>40579</v>
      </c>
      <c r="H1287">
        <v>6</v>
      </c>
      <c r="I1287">
        <v>23</v>
      </c>
      <c r="J1287" t="s">
        <v>13</v>
      </c>
      <c r="K1287" s="4">
        <f>Table1[[#This Row],[Sales]]*Table1[[#This Row],[Quantity]]</f>
        <v>243474</v>
      </c>
      <c r="L1287" s="4">
        <f>Table1[[#This Row],[Revenue]]-(Table1[[#This Row],[Revenue]]*Table1[[#This Row],[Discount]]/100)</f>
        <v>187474.98</v>
      </c>
    </row>
    <row r="1288" spans="1:12" x14ac:dyDescent="0.55000000000000004">
      <c r="A1288" t="s">
        <v>1317</v>
      </c>
      <c r="B1288" s="2">
        <v>45185</v>
      </c>
      <c r="C1288" t="s">
        <v>15</v>
      </c>
      <c r="D1288" t="s">
        <v>16</v>
      </c>
      <c r="E1288" t="s">
        <v>17</v>
      </c>
      <c r="F1288" t="s">
        <v>29</v>
      </c>
      <c r="G1288">
        <v>48069</v>
      </c>
      <c r="H1288">
        <v>9</v>
      </c>
      <c r="I1288">
        <v>28</v>
      </c>
      <c r="J1288" t="s">
        <v>22</v>
      </c>
      <c r="K1288" s="4">
        <f>Table1[[#This Row],[Sales]]*Table1[[#This Row],[Quantity]]</f>
        <v>432621</v>
      </c>
      <c r="L1288" s="4">
        <f>Table1[[#This Row],[Revenue]]-(Table1[[#This Row],[Revenue]]*Table1[[#This Row],[Discount]]/100)</f>
        <v>311487.12</v>
      </c>
    </row>
    <row r="1289" spans="1:12" x14ac:dyDescent="0.55000000000000004">
      <c r="A1289" t="s">
        <v>1318</v>
      </c>
      <c r="B1289" s="2">
        <v>44971</v>
      </c>
      <c r="C1289" t="s">
        <v>24</v>
      </c>
      <c r="D1289" t="s">
        <v>37</v>
      </c>
      <c r="E1289" t="s">
        <v>17</v>
      </c>
      <c r="F1289" t="s">
        <v>44</v>
      </c>
      <c r="G1289">
        <v>44227</v>
      </c>
      <c r="H1289">
        <v>2</v>
      </c>
      <c r="I1289">
        <v>18</v>
      </c>
      <c r="J1289" t="s">
        <v>25</v>
      </c>
      <c r="K1289" s="4">
        <f>Table1[[#This Row],[Sales]]*Table1[[#This Row],[Quantity]]</f>
        <v>88454</v>
      </c>
      <c r="L1289" s="4">
        <f>Table1[[#This Row],[Revenue]]-(Table1[[#This Row],[Revenue]]*Table1[[#This Row],[Discount]]/100)</f>
        <v>72532.28</v>
      </c>
    </row>
    <row r="1290" spans="1:12" x14ac:dyDescent="0.55000000000000004">
      <c r="A1290" t="s">
        <v>1319</v>
      </c>
      <c r="B1290" s="2">
        <v>45069</v>
      </c>
      <c r="C1290" t="s">
        <v>24</v>
      </c>
      <c r="D1290" t="s">
        <v>27</v>
      </c>
      <c r="E1290" t="s">
        <v>11</v>
      </c>
      <c r="F1290" t="s">
        <v>29</v>
      </c>
      <c r="G1290">
        <v>4850</v>
      </c>
      <c r="H1290">
        <v>7</v>
      </c>
      <c r="I1290">
        <v>6</v>
      </c>
      <c r="J1290" t="s">
        <v>25</v>
      </c>
      <c r="K1290" s="4">
        <f>Table1[[#This Row],[Sales]]*Table1[[#This Row],[Quantity]]</f>
        <v>33950</v>
      </c>
      <c r="L1290" s="4">
        <f>Table1[[#This Row],[Revenue]]-(Table1[[#This Row],[Revenue]]*Table1[[#This Row],[Discount]]/100)</f>
        <v>31913</v>
      </c>
    </row>
    <row r="1291" spans="1:12" x14ac:dyDescent="0.55000000000000004">
      <c r="A1291" t="s">
        <v>1320</v>
      </c>
      <c r="B1291" s="2">
        <v>45081</v>
      </c>
      <c r="C1291" t="s">
        <v>31</v>
      </c>
      <c r="D1291" t="s">
        <v>37</v>
      </c>
      <c r="E1291" t="s">
        <v>17</v>
      </c>
      <c r="F1291" t="s">
        <v>34</v>
      </c>
      <c r="G1291">
        <v>38828</v>
      </c>
      <c r="H1291">
        <v>1</v>
      </c>
      <c r="I1291">
        <v>7</v>
      </c>
      <c r="J1291" t="s">
        <v>25</v>
      </c>
      <c r="K1291" s="4">
        <f>Table1[[#This Row],[Sales]]*Table1[[#This Row],[Quantity]]</f>
        <v>38828</v>
      </c>
      <c r="L1291" s="4">
        <f>Table1[[#This Row],[Revenue]]-(Table1[[#This Row],[Revenue]]*Table1[[#This Row],[Discount]]/100)</f>
        <v>36110.04</v>
      </c>
    </row>
    <row r="1292" spans="1:12" x14ac:dyDescent="0.55000000000000004">
      <c r="A1292" t="s">
        <v>1321</v>
      </c>
      <c r="B1292" s="2">
        <v>44989</v>
      </c>
      <c r="C1292" t="s">
        <v>31</v>
      </c>
      <c r="D1292" t="s">
        <v>16</v>
      </c>
      <c r="E1292" t="s">
        <v>17</v>
      </c>
      <c r="F1292" t="s">
        <v>12</v>
      </c>
      <c r="G1292">
        <v>14633</v>
      </c>
      <c r="H1292">
        <v>4</v>
      </c>
      <c r="I1292">
        <v>29</v>
      </c>
      <c r="J1292" t="s">
        <v>22</v>
      </c>
      <c r="K1292" s="4">
        <f>Table1[[#This Row],[Sales]]*Table1[[#This Row],[Quantity]]</f>
        <v>58532</v>
      </c>
      <c r="L1292" s="4">
        <f>Table1[[#This Row],[Revenue]]-(Table1[[#This Row],[Revenue]]*Table1[[#This Row],[Discount]]/100)</f>
        <v>41557.72</v>
      </c>
    </row>
    <row r="1293" spans="1:12" x14ac:dyDescent="0.55000000000000004">
      <c r="A1293" t="s">
        <v>1322</v>
      </c>
      <c r="B1293" s="2">
        <v>45116</v>
      </c>
      <c r="C1293" t="s">
        <v>24</v>
      </c>
      <c r="D1293" t="s">
        <v>27</v>
      </c>
      <c r="E1293" t="s">
        <v>11</v>
      </c>
      <c r="F1293" t="s">
        <v>29</v>
      </c>
      <c r="G1293">
        <v>23997</v>
      </c>
      <c r="H1293">
        <v>10</v>
      </c>
      <c r="I1293">
        <v>20</v>
      </c>
      <c r="J1293" t="s">
        <v>22</v>
      </c>
      <c r="K1293" s="4">
        <f>Table1[[#This Row],[Sales]]*Table1[[#This Row],[Quantity]]</f>
        <v>239970</v>
      </c>
      <c r="L1293" s="4">
        <f>Table1[[#This Row],[Revenue]]-(Table1[[#This Row],[Revenue]]*Table1[[#This Row],[Discount]]/100)</f>
        <v>191976</v>
      </c>
    </row>
    <row r="1294" spans="1:12" x14ac:dyDescent="0.55000000000000004">
      <c r="A1294" t="s">
        <v>1323</v>
      </c>
      <c r="B1294" s="2">
        <v>45037</v>
      </c>
      <c r="C1294" t="s">
        <v>15</v>
      </c>
      <c r="D1294" t="s">
        <v>37</v>
      </c>
      <c r="E1294" t="s">
        <v>11</v>
      </c>
      <c r="F1294" t="s">
        <v>48</v>
      </c>
      <c r="G1294">
        <v>27144</v>
      </c>
      <c r="H1294">
        <v>1</v>
      </c>
      <c r="I1294">
        <v>1</v>
      </c>
      <c r="J1294" t="s">
        <v>13</v>
      </c>
      <c r="K1294" s="4">
        <f>Table1[[#This Row],[Sales]]*Table1[[#This Row],[Quantity]]</f>
        <v>27144</v>
      </c>
      <c r="L1294" s="4">
        <f>Table1[[#This Row],[Revenue]]-(Table1[[#This Row],[Revenue]]*Table1[[#This Row],[Discount]]/100)</f>
        <v>26872.560000000001</v>
      </c>
    </row>
    <row r="1295" spans="1:12" x14ac:dyDescent="0.55000000000000004">
      <c r="A1295" t="s">
        <v>1324</v>
      </c>
      <c r="B1295" s="2">
        <v>44930</v>
      </c>
      <c r="C1295" t="s">
        <v>19</v>
      </c>
      <c r="D1295" t="s">
        <v>20</v>
      </c>
      <c r="E1295" t="s">
        <v>11</v>
      </c>
      <c r="F1295" t="s">
        <v>29</v>
      </c>
      <c r="G1295">
        <v>28236</v>
      </c>
      <c r="H1295">
        <v>5</v>
      </c>
      <c r="I1295">
        <v>18</v>
      </c>
      <c r="J1295" t="s">
        <v>13</v>
      </c>
      <c r="K1295" s="4">
        <f>Table1[[#This Row],[Sales]]*Table1[[#This Row],[Quantity]]</f>
        <v>141180</v>
      </c>
      <c r="L1295" s="4">
        <f>Table1[[#This Row],[Revenue]]-(Table1[[#This Row],[Revenue]]*Table1[[#This Row],[Discount]]/100)</f>
        <v>115767.6</v>
      </c>
    </row>
    <row r="1296" spans="1:12" x14ac:dyDescent="0.55000000000000004">
      <c r="A1296" t="s">
        <v>1325</v>
      </c>
      <c r="B1296" s="2">
        <v>45086</v>
      </c>
      <c r="C1296" t="s">
        <v>19</v>
      </c>
      <c r="D1296" t="s">
        <v>16</v>
      </c>
      <c r="E1296" t="s">
        <v>17</v>
      </c>
      <c r="F1296" t="s">
        <v>34</v>
      </c>
      <c r="G1296">
        <v>24428</v>
      </c>
      <c r="H1296">
        <v>7</v>
      </c>
      <c r="I1296">
        <v>23</v>
      </c>
      <c r="J1296" t="s">
        <v>25</v>
      </c>
      <c r="K1296" s="4">
        <f>Table1[[#This Row],[Sales]]*Table1[[#This Row],[Quantity]]</f>
        <v>170996</v>
      </c>
      <c r="L1296" s="4">
        <f>Table1[[#This Row],[Revenue]]-(Table1[[#This Row],[Revenue]]*Table1[[#This Row],[Discount]]/100)</f>
        <v>131666.91999999998</v>
      </c>
    </row>
    <row r="1297" spans="1:12" x14ac:dyDescent="0.55000000000000004">
      <c r="A1297" t="s">
        <v>1326</v>
      </c>
      <c r="B1297" s="2">
        <v>45192</v>
      </c>
      <c r="C1297" t="s">
        <v>15</v>
      </c>
      <c r="D1297" t="s">
        <v>27</v>
      </c>
      <c r="E1297" t="s">
        <v>11</v>
      </c>
      <c r="F1297" t="s">
        <v>48</v>
      </c>
      <c r="G1297">
        <v>28268</v>
      </c>
      <c r="H1297">
        <v>5</v>
      </c>
      <c r="I1297">
        <v>8</v>
      </c>
      <c r="J1297" t="s">
        <v>13</v>
      </c>
      <c r="K1297" s="4">
        <f>Table1[[#This Row],[Sales]]*Table1[[#This Row],[Quantity]]</f>
        <v>141340</v>
      </c>
      <c r="L1297" s="4">
        <f>Table1[[#This Row],[Revenue]]-(Table1[[#This Row],[Revenue]]*Table1[[#This Row],[Discount]]/100)</f>
        <v>130032.8</v>
      </c>
    </row>
    <row r="1298" spans="1:12" x14ac:dyDescent="0.55000000000000004">
      <c r="A1298" t="s">
        <v>1327</v>
      </c>
      <c r="B1298" s="2">
        <v>45055</v>
      </c>
      <c r="C1298" t="s">
        <v>31</v>
      </c>
      <c r="D1298" t="s">
        <v>37</v>
      </c>
      <c r="E1298" t="s">
        <v>11</v>
      </c>
      <c r="F1298" t="s">
        <v>21</v>
      </c>
      <c r="G1298">
        <v>37164</v>
      </c>
      <c r="H1298">
        <v>5</v>
      </c>
      <c r="I1298">
        <v>27</v>
      </c>
      <c r="J1298" t="s">
        <v>25</v>
      </c>
      <c r="K1298" s="4">
        <f>Table1[[#This Row],[Sales]]*Table1[[#This Row],[Quantity]]</f>
        <v>185820</v>
      </c>
      <c r="L1298" s="4">
        <f>Table1[[#This Row],[Revenue]]-(Table1[[#This Row],[Revenue]]*Table1[[#This Row],[Discount]]/100)</f>
        <v>135648.6</v>
      </c>
    </row>
    <row r="1299" spans="1:12" x14ac:dyDescent="0.55000000000000004">
      <c r="A1299" t="s">
        <v>1328</v>
      </c>
      <c r="B1299" s="2">
        <v>45176</v>
      </c>
      <c r="C1299" t="s">
        <v>24</v>
      </c>
      <c r="D1299" t="s">
        <v>27</v>
      </c>
      <c r="E1299" t="s">
        <v>17</v>
      </c>
      <c r="F1299" t="s">
        <v>12</v>
      </c>
      <c r="G1299">
        <v>587</v>
      </c>
      <c r="H1299">
        <v>1</v>
      </c>
      <c r="I1299">
        <v>4</v>
      </c>
      <c r="J1299" t="s">
        <v>25</v>
      </c>
      <c r="K1299" s="4">
        <f>Table1[[#This Row],[Sales]]*Table1[[#This Row],[Quantity]]</f>
        <v>587</v>
      </c>
      <c r="L1299" s="4">
        <f>Table1[[#This Row],[Revenue]]-(Table1[[#This Row],[Revenue]]*Table1[[#This Row],[Discount]]/100)</f>
        <v>563.52</v>
      </c>
    </row>
    <row r="1300" spans="1:12" x14ac:dyDescent="0.55000000000000004">
      <c r="A1300" t="s">
        <v>1329</v>
      </c>
      <c r="B1300" s="2">
        <v>45204</v>
      </c>
      <c r="C1300" t="s">
        <v>19</v>
      </c>
      <c r="D1300" t="s">
        <v>46</v>
      </c>
      <c r="E1300" t="s">
        <v>17</v>
      </c>
      <c r="F1300" t="s">
        <v>29</v>
      </c>
      <c r="G1300">
        <v>19066</v>
      </c>
      <c r="H1300">
        <v>10</v>
      </c>
      <c r="I1300">
        <v>19</v>
      </c>
      <c r="J1300" t="s">
        <v>13</v>
      </c>
      <c r="K1300" s="4">
        <f>Table1[[#This Row],[Sales]]*Table1[[#This Row],[Quantity]]</f>
        <v>190660</v>
      </c>
      <c r="L1300" s="4">
        <f>Table1[[#This Row],[Revenue]]-(Table1[[#This Row],[Revenue]]*Table1[[#This Row],[Discount]]/100)</f>
        <v>154434.6</v>
      </c>
    </row>
    <row r="1301" spans="1:12" x14ac:dyDescent="0.55000000000000004">
      <c r="A1301" t="s">
        <v>1330</v>
      </c>
      <c r="B1301" s="2">
        <v>44944</v>
      </c>
      <c r="C1301" t="s">
        <v>19</v>
      </c>
      <c r="D1301" t="s">
        <v>37</v>
      </c>
      <c r="E1301" t="s">
        <v>11</v>
      </c>
      <c r="F1301" t="s">
        <v>12</v>
      </c>
      <c r="G1301">
        <v>26392</v>
      </c>
      <c r="H1301">
        <v>10</v>
      </c>
      <c r="I1301">
        <v>12</v>
      </c>
      <c r="J1301" t="s">
        <v>22</v>
      </c>
      <c r="K1301" s="4">
        <f>Table1[[#This Row],[Sales]]*Table1[[#This Row],[Quantity]]</f>
        <v>263920</v>
      </c>
      <c r="L1301" s="4">
        <f>Table1[[#This Row],[Revenue]]-(Table1[[#This Row],[Revenue]]*Table1[[#This Row],[Discount]]/100)</f>
        <v>232249.60000000001</v>
      </c>
    </row>
    <row r="1302" spans="1:12" x14ac:dyDescent="0.55000000000000004">
      <c r="A1302" t="s">
        <v>1331</v>
      </c>
      <c r="B1302" s="2">
        <v>45206</v>
      </c>
      <c r="C1302" t="s">
        <v>15</v>
      </c>
      <c r="D1302" t="s">
        <v>16</v>
      </c>
      <c r="E1302" t="s">
        <v>11</v>
      </c>
      <c r="F1302" t="s">
        <v>44</v>
      </c>
      <c r="G1302">
        <v>8579</v>
      </c>
      <c r="H1302">
        <v>6</v>
      </c>
      <c r="I1302">
        <v>8</v>
      </c>
      <c r="J1302" t="s">
        <v>22</v>
      </c>
      <c r="K1302" s="4">
        <f>Table1[[#This Row],[Sales]]*Table1[[#This Row],[Quantity]]</f>
        <v>51474</v>
      </c>
      <c r="L1302" s="4">
        <f>Table1[[#This Row],[Revenue]]-(Table1[[#This Row],[Revenue]]*Table1[[#This Row],[Discount]]/100)</f>
        <v>47356.08</v>
      </c>
    </row>
    <row r="1303" spans="1:12" x14ac:dyDescent="0.55000000000000004">
      <c r="A1303" t="s">
        <v>1332</v>
      </c>
      <c r="B1303" s="2">
        <v>45275</v>
      </c>
      <c r="C1303" t="s">
        <v>24</v>
      </c>
      <c r="D1303" t="s">
        <v>27</v>
      </c>
      <c r="E1303" t="s">
        <v>17</v>
      </c>
      <c r="F1303" t="s">
        <v>38</v>
      </c>
      <c r="G1303">
        <v>38062</v>
      </c>
      <c r="H1303">
        <v>6</v>
      </c>
      <c r="I1303">
        <v>30</v>
      </c>
      <c r="J1303" t="s">
        <v>22</v>
      </c>
      <c r="K1303" s="4">
        <f>Table1[[#This Row],[Sales]]*Table1[[#This Row],[Quantity]]</f>
        <v>228372</v>
      </c>
      <c r="L1303" s="4">
        <f>Table1[[#This Row],[Revenue]]-(Table1[[#This Row],[Revenue]]*Table1[[#This Row],[Discount]]/100)</f>
        <v>159860.4</v>
      </c>
    </row>
    <row r="1304" spans="1:12" x14ac:dyDescent="0.55000000000000004">
      <c r="A1304" t="s">
        <v>1333</v>
      </c>
      <c r="B1304" s="2">
        <v>45200</v>
      </c>
      <c r="C1304" t="s">
        <v>31</v>
      </c>
      <c r="D1304" t="s">
        <v>27</v>
      </c>
      <c r="E1304" t="s">
        <v>11</v>
      </c>
      <c r="F1304" t="s">
        <v>48</v>
      </c>
      <c r="G1304">
        <v>49141</v>
      </c>
      <c r="H1304">
        <v>8</v>
      </c>
      <c r="I1304">
        <v>30</v>
      </c>
      <c r="J1304" t="s">
        <v>22</v>
      </c>
      <c r="K1304" s="4">
        <f>Table1[[#This Row],[Sales]]*Table1[[#This Row],[Quantity]]</f>
        <v>393128</v>
      </c>
      <c r="L1304" s="4">
        <f>Table1[[#This Row],[Revenue]]-(Table1[[#This Row],[Revenue]]*Table1[[#This Row],[Discount]]/100)</f>
        <v>275189.59999999998</v>
      </c>
    </row>
    <row r="1305" spans="1:12" x14ac:dyDescent="0.55000000000000004">
      <c r="A1305" t="s">
        <v>1334</v>
      </c>
      <c r="B1305" s="2">
        <v>45210</v>
      </c>
      <c r="C1305" t="s">
        <v>24</v>
      </c>
      <c r="D1305" t="s">
        <v>20</v>
      </c>
      <c r="E1305" t="s">
        <v>17</v>
      </c>
      <c r="F1305" t="s">
        <v>48</v>
      </c>
      <c r="G1305">
        <v>16550</v>
      </c>
      <c r="H1305">
        <v>1</v>
      </c>
      <c r="I1305">
        <v>14</v>
      </c>
      <c r="J1305" t="s">
        <v>22</v>
      </c>
      <c r="K1305" s="4">
        <f>Table1[[#This Row],[Sales]]*Table1[[#This Row],[Quantity]]</f>
        <v>16550</v>
      </c>
      <c r="L1305" s="4">
        <f>Table1[[#This Row],[Revenue]]-(Table1[[#This Row],[Revenue]]*Table1[[#This Row],[Discount]]/100)</f>
        <v>14233</v>
      </c>
    </row>
    <row r="1306" spans="1:12" x14ac:dyDescent="0.55000000000000004">
      <c r="A1306" t="s">
        <v>1335</v>
      </c>
      <c r="B1306" s="2">
        <v>45188</v>
      </c>
      <c r="C1306" t="s">
        <v>31</v>
      </c>
      <c r="D1306" t="s">
        <v>20</v>
      </c>
      <c r="E1306" t="s">
        <v>17</v>
      </c>
      <c r="F1306" t="s">
        <v>12</v>
      </c>
      <c r="G1306">
        <v>13582</v>
      </c>
      <c r="H1306">
        <v>1</v>
      </c>
      <c r="I1306">
        <v>25</v>
      </c>
      <c r="J1306" t="s">
        <v>25</v>
      </c>
      <c r="K1306" s="4">
        <f>Table1[[#This Row],[Sales]]*Table1[[#This Row],[Quantity]]</f>
        <v>13582</v>
      </c>
      <c r="L1306" s="4">
        <f>Table1[[#This Row],[Revenue]]-(Table1[[#This Row],[Revenue]]*Table1[[#This Row],[Discount]]/100)</f>
        <v>10186.5</v>
      </c>
    </row>
    <row r="1307" spans="1:12" x14ac:dyDescent="0.55000000000000004">
      <c r="A1307" t="s">
        <v>1336</v>
      </c>
      <c r="B1307" s="2">
        <v>45237</v>
      </c>
      <c r="C1307" t="s">
        <v>24</v>
      </c>
      <c r="D1307" t="s">
        <v>37</v>
      </c>
      <c r="E1307" t="s">
        <v>17</v>
      </c>
      <c r="F1307" t="s">
        <v>29</v>
      </c>
      <c r="G1307">
        <v>27900</v>
      </c>
      <c r="H1307">
        <v>3</v>
      </c>
      <c r="I1307">
        <v>18</v>
      </c>
      <c r="J1307" t="s">
        <v>25</v>
      </c>
      <c r="K1307" s="4">
        <f>Table1[[#This Row],[Sales]]*Table1[[#This Row],[Quantity]]</f>
        <v>83700</v>
      </c>
      <c r="L1307" s="4">
        <f>Table1[[#This Row],[Revenue]]-(Table1[[#This Row],[Revenue]]*Table1[[#This Row],[Discount]]/100)</f>
        <v>68634</v>
      </c>
    </row>
    <row r="1308" spans="1:12" x14ac:dyDescent="0.55000000000000004">
      <c r="A1308" t="s">
        <v>1337</v>
      </c>
      <c r="B1308" s="2">
        <v>45044</v>
      </c>
      <c r="C1308" t="s">
        <v>15</v>
      </c>
      <c r="D1308" t="s">
        <v>20</v>
      </c>
      <c r="E1308" t="s">
        <v>11</v>
      </c>
      <c r="F1308" t="s">
        <v>12</v>
      </c>
      <c r="G1308">
        <v>41001</v>
      </c>
      <c r="H1308">
        <v>9</v>
      </c>
      <c r="I1308">
        <v>6</v>
      </c>
      <c r="J1308" t="s">
        <v>13</v>
      </c>
      <c r="K1308" s="4">
        <f>Table1[[#This Row],[Sales]]*Table1[[#This Row],[Quantity]]</f>
        <v>369009</v>
      </c>
      <c r="L1308" s="4">
        <f>Table1[[#This Row],[Revenue]]-(Table1[[#This Row],[Revenue]]*Table1[[#This Row],[Discount]]/100)</f>
        <v>346868.46</v>
      </c>
    </row>
    <row r="1309" spans="1:12" x14ac:dyDescent="0.55000000000000004">
      <c r="A1309" t="s">
        <v>1338</v>
      </c>
      <c r="B1309" s="2">
        <v>45229</v>
      </c>
      <c r="C1309" t="s">
        <v>19</v>
      </c>
      <c r="D1309" t="s">
        <v>37</v>
      </c>
      <c r="E1309" t="s">
        <v>17</v>
      </c>
      <c r="F1309" t="s">
        <v>48</v>
      </c>
      <c r="G1309">
        <v>22110</v>
      </c>
      <c r="H1309">
        <v>3</v>
      </c>
      <c r="I1309">
        <v>25</v>
      </c>
      <c r="J1309" t="s">
        <v>22</v>
      </c>
      <c r="K1309" s="4">
        <f>Table1[[#This Row],[Sales]]*Table1[[#This Row],[Quantity]]</f>
        <v>66330</v>
      </c>
      <c r="L1309" s="4">
        <f>Table1[[#This Row],[Revenue]]-(Table1[[#This Row],[Revenue]]*Table1[[#This Row],[Discount]]/100)</f>
        <v>49747.5</v>
      </c>
    </row>
    <row r="1310" spans="1:12" x14ac:dyDescent="0.55000000000000004">
      <c r="A1310" t="s">
        <v>1339</v>
      </c>
      <c r="B1310" s="2">
        <v>44986</v>
      </c>
      <c r="C1310" t="s">
        <v>24</v>
      </c>
      <c r="D1310" t="s">
        <v>16</v>
      </c>
      <c r="E1310" t="s">
        <v>17</v>
      </c>
      <c r="F1310" t="s">
        <v>29</v>
      </c>
      <c r="G1310">
        <v>11100</v>
      </c>
      <c r="H1310">
        <v>8</v>
      </c>
      <c r="I1310">
        <v>8</v>
      </c>
      <c r="J1310" t="s">
        <v>25</v>
      </c>
      <c r="K1310" s="4">
        <f>Table1[[#This Row],[Sales]]*Table1[[#This Row],[Quantity]]</f>
        <v>88800</v>
      </c>
      <c r="L1310" s="4">
        <f>Table1[[#This Row],[Revenue]]-(Table1[[#This Row],[Revenue]]*Table1[[#This Row],[Discount]]/100)</f>
        <v>81696</v>
      </c>
    </row>
    <row r="1311" spans="1:12" x14ac:dyDescent="0.55000000000000004">
      <c r="A1311" t="s">
        <v>1340</v>
      </c>
      <c r="B1311" s="2">
        <v>45024</v>
      </c>
      <c r="C1311" t="s">
        <v>24</v>
      </c>
      <c r="D1311" t="s">
        <v>27</v>
      </c>
      <c r="E1311" t="s">
        <v>17</v>
      </c>
      <c r="F1311" t="s">
        <v>38</v>
      </c>
      <c r="G1311">
        <v>35091</v>
      </c>
      <c r="H1311">
        <v>4</v>
      </c>
      <c r="I1311">
        <v>22</v>
      </c>
      <c r="J1311" t="s">
        <v>22</v>
      </c>
      <c r="K1311" s="4">
        <f>Table1[[#This Row],[Sales]]*Table1[[#This Row],[Quantity]]</f>
        <v>140364</v>
      </c>
      <c r="L1311" s="4">
        <f>Table1[[#This Row],[Revenue]]-(Table1[[#This Row],[Revenue]]*Table1[[#This Row],[Discount]]/100)</f>
        <v>109483.92</v>
      </c>
    </row>
    <row r="1312" spans="1:12" x14ac:dyDescent="0.55000000000000004">
      <c r="A1312" t="s">
        <v>1341</v>
      </c>
      <c r="B1312" s="2">
        <v>45058</v>
      </c>
      <c r="C1312" t="s">
        <v>31</v>
      </c>
      <c r="D1312" t="s">
        <v>16</v>
      </c>
      <c r="E1312" t="s">
        <v>11</v>
      </c>
      <c r="F1312" t="s">
        <v>48</v>
      </c>
      <c r="G1312">
        <v>10447</v>
      </c>
      <c r="H1312">
        <v>1</v>
      </c>
      <c r="I1312">
        <v>11</v>
      </c>
      <c r="J1312" t="s">
        <v>25</v>
      </c>
      <c r="K1312" s="4">
        <f>Table1[[#This Row],[Sales]]*Table1[[#This Row],[Quantity]]</f>
        <v>10447</v>
      </c>
      <c r="L1312" s="4">
        <f>Table1[[#This Row],[Revenue]]-(Table1[[#This Row],[Revenue]]*Table1[[#This Row],[Discount]]/100)</f>
        <v>9297.83</v>
      </c>
    </row>
    <row r="1313" spans="1:12" x14ac:dyDescent="0.55000000000000004">
      <c r="A1313" t="s">
        <v>1342</v>
      </c>
      <c r="B1313" s="2">
        <v>44998</v>
      </c>
      <c r="C1313" t="s">
        <v>15</v>
      </c>
      <c r="D1313" t="s">
        <v>46</v>
      </c>
      <c r="E1313" t="s">
        <v>17</v>
      </c>
      <c r="F1313" t="s">
        <v>12</v>
      </c>
      <c r="G1313">
        <v>23972</v>
      </c>
      <c r="H1313">
        <v>5</v>
      </c>
      <c r="I1313">
        <v>4</v>
      </c>
      <c r="J1313" t="s">
        <v>22</v>
      </c>
      <c r="K1313" s="4">
        <f>Table1[[#This Row],[Sales]]*Table1[[#This Row],[Quantity]]</f>
        <v>119860</v>
      </c>
      <c r="L1313" s="4">
        <f>Table1[[#This Row],[Revenue]]-(Table1[[#This Row],[Revenue]]*Table1[[#This Row],[Discount]]/100)</f>
        <v>115065.60000000001</v>
      </c>
    </row>
    <row r="1314" spans="1:12" x14ac:dyDescent="0.55000000000000004">
      <c r="A1314" t="s">
        <v>1343</v>
      </c>
      <c r="B1314" s="2">
        <v>45289</v>
      </c>
      <c r="C1314" t="s">
        <v>24</v>
      </c>
      <c r="D1314" t="s">
        <v>46</v>
      </c>
      <c r="E1314" t="s">
        <v>11</v>
      </c>
      <c r="F1314" t="s">
        <v>38</v>
      </c>
      <c r="G1314">
        <v>29516</v>
      </c>
      <c r="H1314">
        <v>9</v>
      </c>
      <c r="I1314">
        <v>16</v>
      </c>
      <c r="J1314" t="s">
        <v>13</v>
      </c>
      <c r="K1314" s="4">
        <f>Table1[[#This Row],[Sales]]*Table1[[#This Row],[Quantity]]</f>
        <v>265644</v>
      </c>
      <c r="L1314" s="4">
        <f>Table1[[#This Row],[Revenue]]-(Table1[[#This Row],[Revenue]]*Table1[[#This Row],[Discount]]/100)</f>
        <v>223140.96</v>
      </c>
    </row>
    <row r="1315" spans="1:12" x14ac:dyDescent="0.55000000000000004">
      <c r="A1315" t="s">
        <v>1344</v>
      </c>
      <c r="B1315" s="2">
        <v>45051</v>
      </c>
      <c r="C1315" t="s">
        <v>31</v>
      </c>
      <c r="D1315" t="s">
        <v>37</v>
      </c>
      <c r="E1315" t="s">
        <v>17</v>
      </c>
      <c r="F1315" t="s">
        <v>21</v>
      </c>
      <c r="G1315">
        <v>19749</v>
      </c>
      <c r="H1315">
        <v>9</v>
      </c>
      <c r="I1315">
        <v>11</v>
      </c>
      <c r="J1315" t="s">
        <v>22</v>
      </c>
      <c r="K1315" s="4">
        <f>Table1[[#This Row],[Sales]]*Table1[[#This Row],[Quantity]]</f>
        <v>177741</v>
      </c>
      <c r="L1315" s="4">
        <f>Table1[[#This Row],[Revenue]]-(Table1[[#This Row],[Revenue]]*Table1[[#This Row],[Discount]]/100)</f>
        <v>158189.49</v>
      </c>
    </row>
    <row r="1316" spans="1:12" x14ac:dyDescent="0.55000000000000004">
      <c r="A1316" t="s">
        <v>1345</v>
      </c>
      <c r="B1316" s="2">
        <v>45102</v>
      </c>
      <c r="C1316" t="s">
        <v>24</v>
      </c>
      <c r="D1316" t="s">
        <v>16</v>
      </c>
      <c r="E1316" t="s">
        <v>11</v>
      </c>
      <c r="F1316" t="s">
        <v>38</v>
      </c>
      <c r="G1316">
        <v>27891</v>
      </c>
      <c r="H1316">
        <v>9</v>
      </c>
      <c r="I1316">
        <v>4</v>
      </c>
      <c r="J1316" t="s">
        <v>25</v>
      </c>
      <c r="K1316" s="4">
        <f>Table1[[#This Row],[Sales]]*Table1[[#This Row],[Quantity]]</f>
        <v>251019</v>
      </c>
      <c r="L1316" s="4">
        <f>Table1[[#This Row],[Revenue]]-(Table1[[#This Row],[Revenue]]*Table1[[#This Row],[Discount]]/100)</f>
        <v>240978.24</v>
      </c>
    </row>
    <row r="1317" spans="1:12" x14ac:dyDescent="0.55000000000000004">
      <c r="A1317" t="s">
        <v>1346</v>
      </c>
      <c r="B1317" s="2">
        <v>45208</v>
      </c>
      <c r="C1317" t="s">
        <v>24</v>
      </c>
      <c r="D1317" t="s">
        <v>27</v>
      </c>
      <c r="E1317" t="s">
        <v>11</v>
      </c>
      <c r="F1317" t="s">
        <v>29</v>
      </c>
      <c r="G1317">
        <v>6616</v>
      </c>
      <c r="H1317">
        <v>10</v>
      </c>
      <c r="I1317">
        <v>21</v>
      </c>
      <c r="J1317" t="s">
        <v>13</v>
      </c>
      <c r="K1317" s="4">
        <f>Table1[[#This Row],[Sales]]*Table1[[#This Row],[Quantity]]</f>
        <v>66160</v>
      </c>
      <c r="L1317" s="4">
        <f>Table1[[#This Row],[Revenue]]-(Table1[[#This Row],[Revenue]]*Table1[[#This Row],[Discount]]/100)</f>
        <v>52266.400000000001</v>
      </c>
    </row>
    <row r="1318" spans="1:12" x14ac:dyDescent="0.55000000000000004">
      <c r="A1318" t="s">
        <v>1347</v>
      </c>
      <c r="B1318" s="2">
        <v>45243</v>
      </c>
      <c r="C1318" t="s">
        <v>15</v>
      </c>
      <c r="D1318" t="s">
        <v>46</v>
      </c>
      <c r="E1318" t="s">
        <v>11</v>
      </c>
      <c r="F1318" t="s">
        <v>12</v>
      </c>
      <c r="G1318">
        <v>25889</v>
      </c>
      <c r="H1318">
        <v>2</v>
      </c>
      <c r="I1318">
        <v>26</v>
      </c>
      <c r="J1318" t="s">
        <v>25</v>
      </c>
      <c r="K1318" s="4">
        <f>Table1[[#This Row],[Sales]]*Table1[[#This Row],[Quantity]]</f>
        <v>51778</v>
      </c>
      <c r="L1318" s="4">
        <f>Table1[[#This Row],[Revenue]]-(Table1[[#This Row],[Revenue]]*Table1[[#This Row],[Discount]]/100)</f>
        <v>38315.72</v>
      </c>
    </row>
    <row r="1319" spans="1:12" x14ac:dyDescent="0.55000000000000004">
      <c r="A1319" t="s">
        <v>1348</v>
      </c>
      <c r="B1319" s="2">
        <v>45197</v>
      </c>
      <c r="C1319" t="s">
        <v>24</v>
      </c>
      <c r="D1319" t="s">
        <v>16</v>
      </c>
      <c r="E1319" t="s">
        <v>11</v>
      </c>
      <c r="F1319" t="s">
        <v>48</v>
      </c>
      <c r="G1319">
        <v>2419</v>
      </c>
      <c r="H1319">
        <v>10</v>
      </c>
      <c r="I1319">
        <v>1</v>
      </c>
      <c r="J1319" t="s">
        <v>25</v>
      </c>
      <c r="K1319" s="4">
        <f>Table1[[#This Row],[Sales]]*Table1[[#This Row],[Quantity]]</f>
        <v>24190</v>
      </c>
      <c r="L1319" s="4">
        <f>Table1[[#This Row],[Revenue]]-(Table1[[#This Row],[Revenue]]*Table1[[#This Row],[Discount]]/100)</f>
        <v>23948.1</v>
      </c>
    </row>
    <row r="1320" spans="1:12" x14ac:dyDescent="0.55000000000000004">
      <c r="A1320" t="s">
        <v>1349</v>
      </c>
      <c r="B1320" s="2">
        <v>44930</v>
      </c>
      <c r="C1320" t="s">
        <v>15</v>
      </c>
      <c r="D1320" t="s">
        <v>27</v>
      </c>
      <c r="E1320" t="s">
        <v>11</v>
      </c>
      <c r="F1320" t="s">
        <v>34</v>
      </c>
      <c r="G1320">
        <v>41416</v>
      </c>
      <c r="H1320">
        <v>4</v>
      </c>
      <c r="I1320">
        <v>1</v>
      </c>
      <c r="J1320" t="s">
        <v>22</v>
      </c>
      <c r="K1320" s="4">
        <f>Table1[[#This Row],[Sales]]*Table1[[#This Row],[Quantity]]</f>
        <v>165664</v>
      </c>
      <c r="L1320" s="4">
        <f>Table1[[#This Row],[Revenue]]-(Table1[[#This Row],[Revenue]]*Table1[[#This Row],[Discount]]/100)</f>
        <v>164007.35999999999</v>
      </c>
    </row>
    <row r="1321" spans="1:12" x14ac:dyDescent="0.55000000000000004">
      <c r="A1321" t="s">
        <v>1350</v>
      </c>
      <c r="B1321" s="2">
        <v>44977</v>
      </c>
      <c r="C1321" t="s">
        <v>31</v>
      </c>
      <c r="D1321" t="s">
        <v>27</v>
      </c>
      <c r="E1321" t="s">
        <v>11</v>
      </c>
      <c r="F1321" t="s">
        <v>48</v>
      </c>
      <c r="G1321">
        <v>31672</v>
      </c>
      <c r="H1321">
        <v>7</v>
      </c>
      <c r="I1321">
        <v>30</v>
      </c>
      <c r="J1321" t="s">
        <v>13</v>
      </c>
      <c r="K1321" s="4">
        <f>Table1[[#This Row],[Sales]]*Table1[[#This Row],[Quantity]]</f>
        <v>221704</v>
      </c>
      <c r="L1321" s="4">
        <f>Table1[[#This Row],[Revenue]]-(Table1[[#This Row],[Revenue]]*Table1[[#This Row],[Discount]]/100)</f>
        <v>155192.79999999999</v>
      </c>
    </row>
    <row r="1322" spans="1:12" x14ac:dyDescent="0.55000000000000004">
      <c r="A1322" t="s">
        <v>1351</v>
      </c>
      <c r="B1322" s="2">
        <v>45200</v>
      </c>
      <c r="C1322" t="s">
        <v>24</v>
      </c>
      <c r="D1322" t="s">
        <v>16</v>
      </c>
      <c r="E1322" t="s">
        <v>17</v>
      </c>
      <c r="F1322" t="s">
        <v>29</v>
      </c>
      <c r="G1322">
        <v>28587</v>
      </c>
      <c r="H1322">
        <v>9</v>
      </c>
      <c r="I1322">
        <v>19</v>
      </c>
      <c r="J1322" t="s">
        <v>13</v>
      </c>
      <c r="K1322" s="4">
        <f>Table1[[#This Row],[Sales]]*Table1[[#This Row],[Quantity]]</f>
        <v>257283</v>
      </c>
      <c r="L1322" s="4">
        <f>Table1[[#This Row],[Revenue]]-(Table1[[#This Row],[Revenue]]*Table1[[#This Row],[Discount]]/100)</f>
        <v>208399.23</v>
      </c>
    </row>
    <row r="1323" spans="1:12" x14ac:dyDescent="0.55000000000000004">
      <c r="A1323" t="s">
        <v>1352</v>
      </c>
      <c r="B1323" s="2">
        <v>45187</v>
      </c>
      <c r="C1323" t="s">
        <v>15</v>
      </c>
      <c r="D1323" t="s">
        <v>16</v>
      </c>
      <c r="E1323" t="s">
        <v>11</v>
      </c>
      <c r="F1323" t="s">
        <v>48</v>
      </c>
      <c r="G1323">
        <v>25838</v>
      </c>
      <c r="H1323">
        <v>8</v>
      </c>
      <c r="I1323">
        <v>26</v>
      </c>
      <c r="J1323" t="s">
        <v>13</v>
      </c>
      <c r="K1323" s="4">
        <f>Table1[[#This Row],[Sales]]*Table1[[#This Row],[Quantity]]</f>
        <v>206704</v>
      </c>
      <c r="L1323" s="4">
        <f>Table1[[#This Row],[Revenue]]-(Table1[[#This Row],[Revenue]]*Table1[[#This Row],[Discount]]/100)</f>
        <v>152960.95999999999</v>
      </c>
    </row>
    <row r="1324" spans="1:12" x14ac:dyDescent="0.55000000000000004">
      <c r="A1324" t="s">
        <v>1353</v>
      </c>
      <c r="B1324" s="2">
        <v>45060</v>
      </c>
      <c r="C1324" t="s">
        <v>15</v>
      </c>
      <c r="D1324" t="s">
        <v>37</v>
      </c>
      <c r="E1324" t="s">
        <v>11</v>
      </c>
      <c r="F1324" t="s">
        <v>44</v>
      </c>
      <c r="G1324">
        <v>22575</v>
      </c>
      <c r="H1324">
        <v>5</v>
      </c>
      <c r="I1324">
        <v>16</v>
      </c>
      <c r="J1324" t="s">
        <v>13</v>
      </c>
      <c r="K1324" s="4">
        <f>Table1[[#This Row],[Sales]]*Table1[[#This Row],[Quantity]]</f>
        <v>112875</v>
      </c>
      <c r="L1324" s="4">
        <f>Table1[[#This Row],[Revenue]]-(Table1[[#This Row],[Revenue]]*Table1[[#This Row],[Discount]]/100)</f>
        <v>94815</v>
      </c>
    </row>
    <row r="1325" spans="1:12" x14ac:dyDescent="0.55000000000000004">
      <c r="A1325" t="s">
        <v>1354</v>
      </c>
      <c r="B1325" s="2">
        <v>45115</v>
      </c>
      <c r="C1325" t="s">
        <v>24</v>
      </c>
      <c r="D1325" t="s">
        <v>46</v>
      </c>
      <c r="E1325" t="s">
        <v>11</v>
      </c>
      <c r="F1325" t="s">
        <v>38</v>
      </c>
      <c r="G1325">
        <v>29616</v>
      </c>
      <c r="H1325">
        <v>9</v>
      </c>
      <c r="I1325">
        <v>6</v>
      </c>
      <c r="J1325" t="s">
        <v>22</v>
      </c>
      <c r="K1325" s="4">
        <f>Table1[[#This Row],[Sales]]*Table1[[#This Row],[Quantity]]</f>
        <v>266544</v>
      </c>
      <c r="L1325" s="4">
        <f>Table1[[#This Row],[Revenue]]-(Table1[[#This Row],[Revenue]]*Table1[[#This Row],[Discount]]/100)</f>
        <v>250551.36</v>
      </c>
    </row>
    <row r="1326" spans="1:12" x14ac:dyDescent="0.55000000000000004">
      <c r="A1326" t="s">
        <v>1355</v>
      </c>
      <c r="B1326" s="2">
        <v>44942</v>
      </c>
      <c r="C1326" t="s">
        <v>19</v>
      </c>
      <c r="D1326" t="s">
        <v>46</v>
      </c>
      <c r="E1326" t="s">
        <v>17</v>
      </c>
      <c r="F1326" t="s">
        <v>34</v>
      </c>
      <c r="G1326">
        <v>41782</v>
      </c>
      <c r="H1326">
        <v>5</v>
      </c>
      <c r="I1326">
        <v>3</v>
      </c>
      <c r="J1326" t="s">
        <v>13</v>
      </c>
      <c r="K1326" s="4">
        <f>Table1[[#This Row],[Sales]]*Table1[[#This Row],[Quantity]]</f>
        <v>208910</v>
      </c>
      <c r="L1326" s="4">
        <f>Table1[[#This Row],[Revenue]]-(Table1[[#This Row],[Revenue]]*Table1[[#This Row],[Discount]]/100)</f>
        <v>202642.7</v>
      </c>
    </row>
    <row r="1327" spans="1:12" x14ac:dyDescent="0.55000000000000004">
      <c r="A1327" t="s">
        <v>1356</v>
      </c>
      <c r="B1327" s="2">
        <v>45119</v>
      </c>
      <c r="C1327" t="s">
        <v>31</v>
      </c>
      <c r="D1327" t="s">
        <v>46</v>
      </c>
      <c r="E1327" t="s">
        <v>11</v>
      </c>
      <c r="F1327" t="s">
        <v>44</v>
      </c>
      <c r="G1327">
        <v>15765</v>
      </c>
      <c r="H1327">
        <v>8</v>
      </c>
      <c r="I1327">
        <v>17</v>
      </c>
      <c r="J1327" t="s">
        <v>13</v>
      </c>
      <c r="K1327" s="4">
        <f>Table1[[#This Row],[Sales]]*Table1[[#This Row],[Quantity]]</f>
        <v>126120</v>
      </c>
      <c r="L1327" s="4">
        <f>Table1[[#This Row],[Revenue]]-(Table1[[#This Row],[Revenue]]*Table1[[#This Row],[Discount]]/100)</f>
        <v>104679.6</v>
      </c>
    </row>
    <row r="1328" spans="1:12" x14ac:dyDescent="0.55000000000000004">
      <c r="A1328" t="s">
        <v>1357</v>
      </c>
      <c r="B1328" s="2">
        <v>45077</v>
      </c>
      <c r="C1328" t="s">
        <v>24</v>
      </c>
      <c r="D1328" t="s">
        <v>46</v>
      </c>
      <c r="E1328" t="s">
        <v>11</v>
      </c>
      <c r="F1328" t="s">
        <v>29</v>
      </c>
      <c r="G1328">
        <v>45413</v>
      </c>
      <c r="H1328">
        <v>1</v>
      </c>
      <c r="I1328">
        <v>7</v>
      </c>
      <c r="J1328" t="s">
        <v>13</v>
      </c>
      <c r="K1328" s="4">
        <f>Table1[[#This Row],[Sales]]*Table1[[#This Row],[Quantity]]</f>
        <v>45413</v>
      </c>
      <c r="L1328" s="4">
        <f>Table1[[#This Row],[Revenue]]-(Table1[[#This Row],[Revenue]]*Table1[[#This Row],[Discount]]/100)</f>
        <v>42234.09</v>
      </c>
    </row>
    <row r="1329" spans="1:12" x14ac:dyDescent="0.55000000000000004">
      <c r="A1329" t="s">
        <v>1358</v>
      </c>
      <c r="B1329" s="2">
        <v>44931</v>
      </c>
      <c r="C1329" t="s">
        <v>15</v>
      </c>
      <c r="D1329" t="s">
        <v>20</v>
      </c>
      <c r="E1329" t="s">
        <v>17</v>
      </c>
      <c r="F1329" t="s">
        <v>29</v>
      </c>
      <c r="G1329">
        <v>26245</v>
      </c>
      <c r="H1329">
        <v>6</v>
      </c>
      <c r="I1329">
        <v>14</v>
      </c>
      <c r="J1329" t="s">
        <v>22</v>
      </c>
      <c r="K1329" s="4">
        <f>Table1[[#This Row],[Sales]]*Table1[[#This Row],[Quantity]]</f>
        <v>157470</v>
      </c>
      <c r="L1329" s="4">
        <f>Table1[[#This Row],[Revenue]]-(Table1[[#This Row],[Revenue]]*Table1[[#This Row],[Discount]]/100)</f>
        <v>135424.20000000001</v>
      </c>
    </row>
    <row r="1330" spans="1:12" x14ac:dyDescent="0.55000000000000004">
      <c r="A1330" t="s">
        <v>1359</v>
      </c>
      <c r="B1330" s="2">
        <v>45048</v>
      </c>
      <c r="C1330" t="s">
        <v>24</v>
      </c>
      <c r="D1330" t="s">
        <v>37</v>
      </c>
      <c r="E1330" t="s">
        <v>11</v>
      </c>
      <c r="F1330" t="s">
        <v>29</v>
      </c>
      <c r="G1330">
        <v>36560</v>
      </c>
      <c r="H1330">
        <v>7</v>
      </c>
      <c r="I1330">
        <v>19</v>
      </c>
      <c r="J1330" t="s">
        <v>13</v>
      </c>
      <c r="K1330" s="4">
        <f>Table1[[#This Row],[Sales]]*Table1[[#This Row],[Quantity]]</f>
        <v>255920</v>
      </c>
      <c r="L1330" s="4">
        <f>Table1[[#This Row],[Revenue]]-(Table1[[#This Row],[Revenue]]*Table1[[#This Row],[Discount]]/100)</f>
        <v>207295.2</v>
      </c>
    </row>
    <row r="1331" spans="1:12" x14ac:dyDescent="0.55000000000000004">
      <c r="A1331" t="s">
        <v>1360</v>
      </c>
      <c r="B1331" s="2">
        <v>44988</v>
      </c>
      <c r="C1331" t="s">
        <v>24</v>
      </c>
      <c r="D1331" t="s">
        <v>37</v>
      </c>
      <c r="E1331" t="s">
        <v>11</v>
      </c>
      <c r="F1331" t="s">
        <v>34</v>
      </c>
      <c r="G1331">
        <v>28515</v>
      </c>
      <c r="H1331">
        <v>5</v>
      </c>
      <c r="I1331">
        <v>7</v>
      </c>
      <c r="J1331" t="s">
        <v>22</v>
      </c>
      <c r="K1331" s="4">
        <f>Table1[[#This Row],[Sales]]*Table1[[#This Row],[Quantity]]</f>
        <v>142575</v>
      </c>
      <c r="L1331" s="4">
        <f>Table1[[#This Row],[Revenue]]-(Table1[[#This Row],[Revenue]]*Table1[[#This Row],[Discount]]/100)</f>
        <v>132594.75</v>
      </c>
    </row>
    <row r="1332" spans="1:12" x14ac:dyDescent="0.55000000000000004">
      <c r="A1332" t="s">
        <v>1361</v>
      </c>
      <c r="B1332" s="2">
        <v>45113</v>
      </c>
      <c r="C1332" t="s">
        <v>24</v>
      </c>
      <c r="D1332" t="s">
        <v>20</v>
      </c>
      <c r="E1332" t="s">
        <v>17</v>
      </c>
      <c r="F1332" t="s">
        <v>21</v>
      </c>
      <c r="G1332">
        <v>18384</v>
      </c>
      <c r="H1332">
        <v>2</v>
      </c>
      <c r="I1332">
        <v>14</v>
      </c>
      <c r="J1332" t="s">
        <v>22</v>
      </c>
      <c r="K1332" s="4">
        <f>Table1[[#This Row],[Sales]]*Table1[[#This Row],[Quantity]]</f>
        <v>36768</v>
      </c>
      <c r="L1332" s="4">
        <f>Table1[[#This Row],[Revenue]]-(Table1[[#This Row],[Revenue]]*Table1[[#This Row],[Discount]]/100)</f>
        <v>31620.48</v>
      </c>
    </row>
    <row r="1333" spans="1:12" x14ac:dyDescent="0.55000000000000004">
      <c r="A1333" t="s">
        <v>1362</v>
      </c>
      <c r="B1333" s="2">
        <v>45019</v>
      </c>
      <c r="C1333" t="s">
        <v>24</v>
      </c>
      <c r="D1333" t="s">
        <v>37</v>
      </c>
      <c r="E1333" t="s">
        <v>17</v>
      </c>
      <c r="F1333" t="s">
        <v>12</v>
      </c>
      <c r="G1333">
        <v>13850</v>
      </c>
      <c r="H1333">
        <v>10</v>
      </c>
      <c r="I1333">
        <v>24</v>
      </c>
      <c r="J1333" t="s">
        <v>13</v>
      </c>
      <c r="K1333" s="4">
        <f>Table1[[#This Row],[Sales]]*Table1[[#This Row],[Quantity]]</f>
        <v>138500</v>
      </c>
      <c r="L1333" s="4">
        <f>Table1[[#This Row],[Revenue]]-(Table1[[#This Row],[Revenue]]*Table1[[#This Row],[Discount]]/100)</f>
        <v>105260</v>
      </c>
    </row>
    <row r="1334" spans="1:12" x14ac:dyDescent="0.55000000000000004">
      <c r="A1334" t="s">
        <v>1363</v>
      </c>
      <c r="B1334" s="2">
        <v>44933</v>
      </c>
      <c r="C1334" t="s">
        <v>19</v>
      </c>
      <c r="D1334" t="s">
        <v>27</v>
      </c>
      <c r="E1334" t="s">
        <v>11</v>
      </c>
      <c r="F1334" t="s">
        <v>44</v>
      </c>
      <c r="G1334">
        <v>34278</v>
      </c>
      <c r="H1334">
        <v>1</v>
      </c>
      <c r="I1334">
        <v>24</v>
      </c>
      <c r="J1334" t="s">
        <v>13</v>
      </c>
      <c r="K1334" s="4">
        <f>Table1[[#This Row],[Sales]]*Table1[[#This Row],[Quantity]]</f>
        <v>34278</v>
      </c>
      <c r="L1334" s="4">
        <f>Table1[[#This Row],[Revenue]]-(Table1[[#This Row],[Revenue]]*Table1[[#This Row],[Discount]]/100)</f>
        <v>26051.279999999999</v>
      </c>
    </row>
    <row r="1335" spans="1:12" x14ac:dyDescent="0.55000000000000004">
      <c r="A1335" t="s">
        <v>1364</v>
      </c>
      <c r="B1335" s="2">
        <v>45184</v>
      </c>
      <c r="C1335" t="s">
        <v>19</v>
      </c>
      <c r="D1335" t="s">
        <v>27</v>
      </c>
      <c r="E1335" t="s">
        <v>17</v>
      </c>
      <c r="F1335" t="s">
        <v>12</v>
      </c>
      <c r="G1335">
        <v>19066</v>
      </c>
      <c r="H1335">
        <v>9</v>
      </c>
      <c r="I1335">
        <v>27</v>
      </c>
      <c r="J1335" t="s">
        <v>25</v>
      </c>
      <c r="K1335" s="4">
        <f>Table1[[#This Row],[Sales]]*Table1[[#This Row],[Quantity]]</f>
        <v>171594</v>
      </c>
      <c r="L1335" s="4">
        <f>Table1[[#This Row],[Revenue]]-(Table1[[#This Row],[Revenue]]*Table1[[#This Row],[Discount]]/100)</f>
        <v>125263.62</v>
      </c>
    </row>
    <row r="1336" spans="1:12" x14ac:dyDescent="0.55000000000000004">
      <c r="A1336" t="s">
        <v>1365</v>
      </c>
      <c r="B1336" s="2">
        <v>45245</v>
      </c>
      <c r="C1336" t="s">
        <v>19</v>
      </c>
      <c r="D1336" t="s">
        <v>20</v>
      </c>
      <c r="E1336" t="s">
        <v>11</v>
      </c>
      <c r="F1336" t="s">
        <v>29</v>
      </c>
      <c r="G1336">
        <v>7652</v>
      </c>
      <c r="H1336">
        <v>5</v>
      </c>
      <c r="I1336">
        <v>13</v>
      </c>
      <c r="J1336" t="s">
        <v>13</v>
      </c>
      <c r="K1336" s="4">
        <f>Table1[[#This Row],[Sales]]*Table1[[#This Row],[Quantity]]</f>
        <v>38260</v>
      </c>
      <c r="L1336" s="4">
        <f>Table1[[#This Row],[Revenue]]-(Table1[[#This Row],[Revenue]]*Table1[[#This Row],[Discount]]/100)</f>
        <v>33286.199999999997</v>
      </c>
    </row>
    <row r="1337" spans="1:12" x14ac:dyDescent="0.55000000000000004">
      <c r="A1337" t="s">
        <v>1366</v>
      </c>
      <c r="B1337" s="2">
        <v>45271</v>
      </c>
      <c r="C1337" t="s">
        <v>15</v>
      </c>
      <c r="D1337" t="s">
        <v>27</v>
      </c>
      <c r="E1337" t="s">
        <v>11</v>
      </c>
      <c r="F1337" t="s">
        <v>21</v>
      </c>
      <c r="G1337">
        <v>45380</v>
      </c>
      <c r="H1337">
        <v>2</v>
      </c>
      <c r="I1337">
        <v>2</v>
      </c>
      <c r="J1337" t="s">
        <v>22</v>
      </c>
      <c r="K1337" s="4">
        <f>Table1[[#This Row],[Sales]]*Table1[[#This Row],[Quantity]]</f>
        <v>90760</v>
      </c>
      <c r="L1337" s="4">
        <f>Table1[[#This Row],[Revenue]]-(Table1[[#This Row],[Revenue]]*Table1[[#This Row],[Discount]]/100)</f>
        <v>88944.8</v>
      </c>
    </row>
    <row r="1338" spans="1:12" x14ac:dyDescent="0.55000000000000004">
      <c r="A1338" t="s">
        <v>1367</v>
      </c>
      <c r="B1338" s="2">
        <v>45235</v>
      </c>
      <c r="C1338" t="s">
        <v>24</v>
      </c>
      <c r="D1338" t="s">
        <v>27</v>
      </c>
      <c r="E1338" t="s">
        <v>11</v>
      </c>
      <c r="F1338" t="s">
        <v>29</v>
      </c>
      <c r="G1338">
        <v>27245</v>
      </c>
      <c r="H1338">
        <v>8</v>
      </c>
      <c r="I1338">
        <v>2</v>
      </c>
      <c r="J1338" t="s">
        <v>25</v>
      </c>
      <c r="K1338" s="4">
        <f>Table1[[#This Row],[Sales]]*Table1[[#This Row],[Quantity]]</f>
        <v>217960</v>
      </c>
      <c r="L1338" s="4">
        <f>Table1[[#This Row],[Revenue]]-(Table1[[#This Row],[Revenue]]*Table1[[#This Row],[Discount]]/100)</f>
        <v>213600.8</v>
      </c>
    </row>
    <row r="1339" spans="1:12" x14ac:dyDescent="0.55000000000000004">
      <c r="A1339" t="s">
        <v>1368</v>
      </c>
      <c r="B1339" s="2">
        <v>45280</v>
      </c>
      <c r="C1339" t="s">
        <v>15</v>
      </c>
      <c r="D1339" t="s">
        <v>20</v>
      </c>
      <c r="E1339" t="s">
        <v>17</v>
      </c>
      <c r="F1339" t="s">
        <v>12</v>
      </c>
      <c r="G1339">
        <v>14612</v>
      </c>
      <c r="H1339">
        <v>1</v>
      </c>
      <c r="I1339">
        <v>14</v>
      </c>
      <c r="J1339" t="s">
        <v>13</v>
      </c>
      <c r="K1339" s="4">
        <f>Table1[[#This Row],[Sales]]*Table1[[#This Row],[Quantity]]</f>
        <v>14612</v>
      </c>
      <c r="L1339" s="4">
        <f>Table1[[#This Row],[Revenue]]-(Table1[[#This Row],[Revenue]]*Table1[[#This Row],[Discount]]/100)</f>
        <v>12566.32</v>
      </c>
    </row>
    <row r="1340" spans="1:12" x14ac:dyDescent="0.55000000000000004">
      <c r="A1340" t="s">
        <v>1369</v>
      </c>
      <c r="B1340" s="2">
        <v>45263</v>
      </c>
      <c r="C1340" t="s">
        <v>31</v>
      </c>
      <c r="D1340" t="s">
        <v>20</v>
      </c>
      <c r="E1340" t="s">
        <v>17</v>
      </c>
      <c r="F1340" t="s">
        <v>29</v>
      </c>
      <c r="G1340">
        <v>44966</v>
      </c>
      <c r="H1340">
        <v>7</v>
      </c>
      <c r="I1340">
        <v>4</v>
      </c>
      <c r="J1340" t="s">
        <v>13</v>
      </c>
      <c r="K1340" s="4">
        <f>Table1[[#This Row],[Sales]]*Table1[[#This Row],[Quantity]]</f>
        <v>314762</v>
      </c>
      <c r="L1340" s="4">
        <f>Table1[[#This Row],[Revenue]]-(Table1[[#This Row],[Revenue]]*Table1[[#This Row],[Discount]]/100)</f>
        <v>302171.52000000002</v>
      </c>
    </row>
    <row r="1341" spans="1:12" x14ac:dyDescent="0.55000000000000004">
      <c r="A1341" t="s">
        <v>1370</v>
      </c>
      <c r="B1341" s="2">
        <v>45187</v>
      </c>
      <c r="C1341" t="s">
        <v>31</v>
      </c>
      <c r="D1341" t="s">
        <v>20</v>
      </c>
      <c r="E1341" t="s">
        <v>17</v>
      </c>
      <c r="F1341" t="s">
        <v>44</v>
      </c>
      <c r="G1341">
        <v>48918</v>
      </c>
      <c r="H1341">
        <v>9</v>
      </c>
      <c r="I1341">
        <v>15</v>
      </c>
      <c r="J1341" t="s">
        <v>22</v>
      </c>
      <c r="K1341" s="4">
        <f>Table1[[#This Row],[Sales]]*Table1[[#This Row],[Quantity]]</f>
        <v>440262</v>
      </c>
      <c r="L1341" s="4">
        <f>Table1[[#This Row],[Revenue]]-(Table1[[#This Row],[Revenue]]*Table1[[#This Row],[Discount]]/100)</f>
        <v>374222.7</v>
      </c>
    </row>
    <row r="1342" spans="1:12" x14ac:dyDescent="0.55000000000000004">
      <c r="A1342" t="s">
        <v>1371</v>
      </c>
      <c r="B1342" s="2">
        <v>45196</v>
      </c>
      <c r="C1342" t="s">
        <v>19</v>
      </c>
      <c r="D1342" t="s">
        <v>37</v>
      </c>
      <c r="E1342" t="s">
        <v>17</v>
      </c>
      <c r="F1342" t="s">
        <v>38</v>
      </c>
      <c r="G1342">
        <v>8757</v>
      </c>
      <c r="H1342">
        <v>2</v>
      </c>
      <c r="I1342">
        <v>0</v>
      </c>
      <c r="J1342" t="s">
        <v>22</v>
      </c>
      <c r="K1342" s="4">
        <f>Table1[[#This Row],[Sales]]*Table1[[#This Row],[Quantity]]</f>
        <v>17514</v>
      </c>
      <c r="L1342" s="4">
        <f>Table1[[#This Row],[Revenue]]-(Table1[[#This Row],[Revenue]]*Table1[[#This Row],[Discount]]/100)</f>
        <v>17514</v>
      </c>
    </row>
    <row r="1343" spans="1:12" x14ac:dyDescent="0.55000000000000004">
      <c r="A1343" t="s">
        <v>1372</v>
      </c>
      <c r="B1343" s="2">
        <v>44961</v>
      </c>
      <c r="C1343" t="s">
        <v>24</v>
      </c>
      <c r="D1343" t="s">
        <v>37</v>
      </c>
      <c r="E1343" t="s">
        <v>11</v>
      </c>
      <c r="F1343" t="s">
        <v>44</v>
      </c>
      <c r="G1343">
        <v>21328</v>
      </c>
      <c r="H1343">
        <v>10</v>
      </c>
      <c r="I1343">
        <v>5</v>
      </c>
      <c r="J1343" t="s">
        <v>13</v>
      </c>
      <c r="K1343" s="4">
        <f>Table1[[#This Row],[Sales]]*Table1[[#This Row],[Quantity]]</f>
        <v>213280</v>
      </c>
      <c r="L1343" s="4">
        <f>Table1[[#This Row],[Revenue]]-(Table1[[#This Row],[Revenue]]*Table1[[#This Row],[Discount]]/100)</f>
        <v>202616</v>
      </c>
    </row>
    <row r="1344" spans="1:12" x14ac:dyDescent="0.55000000000000004">
      <c r="A1344" t="s">
        <v>1373</v>
      </c>
      <c r="B1344" s="2">
        <v>45126</v>
      </c>
      <c r="C1344" t="s">
        <v>24</v>
      </c>
      <c r="D1344" t="s">
        <v>20</v>
      </c>
      <c r="E1344" t="s">
        <v>11</v>
      </c>
      <c r="F1344" t="s">
        <v>12</v>
      </c>
      <c r="G1344">
        <v>33765</v>
      </c>
      <c r="H1344">
        <v>2</v>
      </c>
      <c r="I1344">
        <v>7</v>
      </c>
      <c r="J1344" t="s">
        <v>13</v>
      </c>
      <c r="K1344" s="4">
        <f>Table1[[#This Row],[Sales]]*Table1[[#This Row],[Quantity]]</f>
        <v>67530</v>
      </c>
      <c r="L1344" s="4">
        <f>Table1[[#This Row],[Revenue]]-(Table1[[#This Row],[Revenue]]*Table1[[#This Row],[Discount]]/100)</f>
        <v>62802.9</v>
      </c>
    </row>
    <row r="1345" spans="1:12" x14ac:dyDescent="0.55000000000000004">
      <c r="A1345" t="s">
        <v>1374</v>
      </c>
      <c r="B1345" s="2">
        <v>45112</v>
      </c>
      <c r="C1345" t="s">
        <v>19</v>
      </c>
      <c r="D1345" t="s">
        <v>27</v>
      </c>
      <c r="E1345" t="s">
        <v>17</v>
      </c>
      <c r="F1345" t="s">
        <v>34</v>
      </c>
      <c r="G1345">
        <v>29683</v>
      </c>
      <c r="H1345">
        <v>6</v>
      </c>
      <c r="I1345">
        <v>28</v>
      </c>
      <c r="J1345" t="s">
        <v>25</v>
      </c>
      <c r="K1345" s="4">
        <f>Table1[[#This Row],[Sales]]*Table1[[#This Row],[Quantity]]</f>
        <v>178098</v>
      </c>
      <c r="L1345" s="4">
        <f>Table1[[#This Row],[Revenue]]-(Table1[[#This Row],[Revenue]]*Table1[[#This Row],[Discount]]/100)</f>
        <v>128230.56</v>
      </c>
    </row>
    <row r="1346" spans="1:12" x14ac:dyDescent="0.55000000000000004">
      <c r="A1346" t="s">
        <v>1375</v>
      </c>
      <c r="B1346" s="2">
        <v>45021</v>
      </c>
      <c r="C1346" t="s">
        <v>31</v>
      </c>
      <c r="D1346" t="s">
        <v>20</v>
      </c>
      <c r="E1346" t="s">
        <v>17</v>
      </c>
      <c r="F1346" t="s">
        <v>29</v>
      </c>
      <c r="G1346">
        <v>18676</v>
      </c>
      <c r="H1346">
        <v>10</v>
      </c>
      <c r="I1346">
        <v>24</v>
      </c>
      <c r="J1346" t="s">
        <v>13</v>
      </c>
      <c r="K1346" s="4">
        <f>Table1[[#This Row],[Sales]]*Table1[[#This Row],[Quantity]]</f>
        <v>186760</v>
      </c>
      <c r="L1346" s="4">
        <f>Table1[[#This Row],[Revenue]]-(Table1[[#This Row],[Revenue]]*Table1[[#This Row],[Discount]]/100)</f>
        <v>141937.60000000001</v>
      </c>
    </row>
    <row r="1347" spans="1:12" x14ac:dyDescent="0.55000000000000004">
      <c r="A1347" t="s">
        <v>1376</v>
      </c>
      <c r="B1347" s="2">
        <v>45132</v>
      </c>
      <c r="C1347" t="s">
        <v>19</v>
      </c>
      <c r="D1347" t="s">
        <v>46</v>
      </c>
      <c r="E1347" t="s">
        <v>11</v>
      </c>
      <c r="F1347" t="s">
        <v>29</v>
      </c>
      <c r="G1347">
        <v>40317</v>
      </c>
      <c r="H1347">
        <v>5</v>
      </c>
      <c r="I1347">
        <v>25</v>
      </c>
      <c r="J1347" t="s">
        <v>13</v>
      </c>
      <c r="K1347" s="4">
        <f>Table1[[#This Row],[Sales]]*Table1[[#This Row],[Quantity]]</f>
        <v>201585</v>
      </c>
      <c r="L1347" s="4">
        <f>Table1[[#This Row],[Revenue]]-(Table1[[#This Row],[Revenue]]*Table1[[#This Row],[Discount]]/100)</f>
        <v>151188.75</v>
      </c>
    </row>
    <row r="1348" spans="1:12" x14ac:dyDescent="0.55000000000000004">
      <c r="A1348" t="s">
        <v>1377</v>
      </c>
      <c r="B1348" s="2">
        <v>44944</v>
      </c>
      <c r="C1348" t="s">
        <v>24</v>
      </c>
      <c r="D1348" t="s">
        <v>20</v>
      </c>
      <c r="E1348" t="s">
        <v>17</v>
      </c>
      <c r="F1348" t="s">
        <v>12</v>
      </c>
      <c r="G1348">
        <v>46466</v>
      </c>
      <c r="H1348">
        <v>2</v>
      </c>
      <c r="I1348">
        <v>26</v>
      </c>
      <c r="J1348" t="s">
        <v>22</v>
      </c>
      <c r="K1348" s="4">
        <f>Table1[[#This Row],[Sales]]*Table1[[#This Row],[Quantity]]</f>
        <v>92932</v>
      </c>
      <c r="L1348" s="4">
        <f>Table1[[#This Row],[Revenue]]-(Table1[[#This Row],[Revenue]]*Table1[[#This Row],[Discount]]/100)</f>
        <v>68769.679999999993</v>
      </c>
    </row>
    <row r="1349" spans="1:12" x14ac:dyDescent="0.55000000000000004">
      <c r="A1349" t="s">
        <v>1378</v>
      </c>
      <c r="B1349" s="2">
        <v>45174</v>
      </c>
      <c r="C1349" t="s">
        <v>15</v>
      </c>
      <c r="D1349" t="s">
        <v>37</v>
      </c>
      <c r="E1349" t="s">
        <v>17</v>
      </c>
      <c r="F1349" t="s">
        <v>44</v>
      </c>
      <c r="G1349">
        <v>44184</v>
      </c>
      <c r="H1349">
        <v>9</v>
      </c>
      <c r="I1349">
        <v>29</v>
      </c>
      <c r="J1349" t="s">
        <v>13</v>
      </c>
      <c r="K1349" s="4">
        <f>Table1[[#This Row],[Sales]]*Table1[[#This Row],[Quantity]]</f>
        <v>397656</v>
      </c>
      <c r="L1349" s="4">
        <f>Table1[[#This Row],[Revenue]]-(Table1[[#This Row],[Revenue]]*Table1[[#This Row],[Discount]]/100)</f>
        <v>282335.76</v>
      </c>
    </row>
    <row r="1350" spans="1:12" x14ac:dyDescent="0.55000000000000004">
      <c r="A1350" t="s">
        <v>1379</v>
      </c>
      <c r="B1350" s="2">
        <v>45062</v>
      </c>
      <c r="C1350" t="s">
        <v>24</v>
      </c>
      <c r="D1350" t="s">
        <v>20</v>
      </c>
      <c r="E1350" t="s">
        <v>11</v>
      </c>
      <c r="F1350" t="s">
        <v>44</v>
      </c>
      <c r="G1350">
        <v>15728</v>
      </c>
      <c r="H1350">
        <v>1</v>
      </c>
      <c r="I1350">
        <v>2</v>
      </c>
      <c r="J1350" t="s">
        <v>22</v>
      </c>
      <c r="K1350" s="4">
        <f>Table1[[#This Row],[Sales]]*Table1[[#This Row],[Quantity]]</f>
        <v>15728</v>
      </c>
      <c r="L1350" s="4">
        <f>Table1[[#This Row],[Revenue]]-(Table1[[#This Row],[Revenue]]*Table1[[#This Row],[Discount]]/100)</f>
        <v>15413.44</v>
      </c>
    </row>
    <row r="1351" spans="1:12" x14ac:dyDescent="0.55000000000000004">
      <c r="A1351" t="s">
        <v>1380</v>
      </c>
      <c r="B1351" s="2">
        <v>45066</v>
      </c>
      <c r="C1351" t="s">
        <v>24</v>
      </c>
      <c r="D1351" t="s">
        <v>16</v>
      </c>
      <c r="E1351" t="s">
        <v>11</v>
      </c>
      <c r="F1351" t="s">
        <v>29</v>
      </c>
      <c r="G1351">
        <v>27811</v>
      </c>
      <c r="H1351">
        <v>2</v>
      </c>
      <c r="I1351">
        <v>9</v>
      </c>
      <c r="J1351" t="s">
        <v>22</v>
      </c>
      <c r="K1351" s="4">
        <f>Table1[[#This Row],[Sales]]*Table1[[#This Row],[Quantity]]</f>
        <v>55622</v>
      </c>
      <c r="L1351" s="4">
        <f>Table1[[#This Row],[Revenue]]-(Table1[[#This Row],[Revenue]]*Table1[[#This Row],[Discount]]/100)</f>
        <v>50616.020000000004</v>
      </c>
    </row>
    <row r="1352" spans="1:12" x14ac:dyDescent="0.55000000000000004">
      <c r="A1352" t="s">
        <v>1381</v>
      </c>
      <c r="B1352" s="2">
        <v>45111</v>
      </c>
      <c r="C1352" t="s">
        <v>15</v>
      </c>
      <c r="D1352" t="s">
        <v>27</v>
      </c>
      <c r="E1352" t="s">
        <v>17</v>
      </c>
      <c r="F1352" t="s">
        <v>21</v>
      </c>
      <c r="G1352">
        <v>37069</v>
      </c>
      <c r="H1352">
        <v>2</v>
      </c>
      <c r="I1352">
        <v>8</v>
      </c>
      <c r="J1352" t="s">
        <v>13</v>
      </c>
      <c r="K1352" s="4">
        <f>Table1[[#This Row],[Sales]]*Table1[[#This Row],[Quantity]]</f>
        <v>74138</v>
      </c>
      <c r="L1352" s="4">
        <f>Table1[[#This Row],[Revenue]]-(Table1[[#This Row],[Revenue]]*Table1[[#This Row],[Discount]]/100)</f>
        <v>68206.960000000006</v>
      </c>
    </row>
    <row r="1353" spans="1:12" x14ac:dyDescent="0.55000000000000004">
      <c r="A1353" t="s">
        <v>1382</v>
      </c>
      <c r="B1353" s="2">
        <v>44953</v>
      </c>
      <c r="C1353" t="s">
        <v>31</v>
      </c>
      <c r="D1353" t="s">
        <v>37</v>
      </c>
      <c r="E1353" t="s">
        <v>17</v>
      </c>
      <c r="F1353" t="s">
        <v>21</v>
      </c>
      <c r="G1353">
        <v>14968</v>
      </c>
      <c r="H1353">
        <v>10</v>
      </c>
      <c r="I1353">
        <v>7</v>
      </c>
      <c r="J1353" t="s">
        <v>25</v>
      </c>
      <c r="K1353" s="4">
        <f>Table1[[#This Row],[Sales]]*Table1[[#This Row],[Quantity]]</f>
        <v>149680</v>
      </c>
      <c r="L1353" s="4">
        <f>Table1[[#This Row],[Revenue]]-(Table1[[#This Row],[Revenue]]*Table1[[#This Row],[Discount]]/100)</f>
        <v>139202.4</v>
      </c>
    </row>
    <row r="1354" spans="1:12" x14ac:dyDescent="0.55000000000000004">
      <c r="A1354" t="s">
        <v>1383</v>
      </c>
      <c r="B1354" s="2">
        <v>45093</v>
      </c>
      <c r="C1354" t="s">
        <v>19</v>
      </c>
      <c r="D1354" t="s">
        <v>46</v>
      </c>
      <c r="E1354" t="s">
        <v>17</v>
      </c>
      <c r="F1354" t="s">
        <v>12</v>
      </c>
      <c r="G1354">
        <v>47231</v>
      </c>
      <c r="H1354">
        <v>10</v>
      </c>
      <c r="I1354">
        <v>6</v>
      </c>
      <c r="J1354" t="s">
        <v>22</v>
      </c>
      <c r="K1354" s="4">
        <f>Table1[[#This Row],[Sales]]*Table1[[#This Row],[Quantity]]</f>
        <v>472310</v>
      </c>
      <c r="L1354" s="4">
        <f>Table1[[#This Row],[Revenue]]-(Table1[[#This Row],[Revenue]]*Table1[[#This Row],[Discount]]/100)</f>
        <v>443971.4</v>
      </c>
    </row>
    <row r="1355" spans="1:12" x14ac:dyDescent="0.55000000000000004">
      <c r="A1355" t="s">
        <v>1384</v>
      </c>
      <c r="B1355" s="2">
        <v>45153</v>
      </c>
      <c r="C1355" t="s">
        <v>31</v>
      </c>
      <c r="D1355" t="s">
        <v>27</v>
      </c>
      <c r="E1355" t="s">
        <v>11</v>
      </c>
      <c r="F1355" t="s">
        <v>48</v>
      </c>
      <c r="G1355">
        <v>29906</v>
      </c>
      <c r="H1355">
        <v>6</v>
      </c>
      <c r="I1355">
        <v>25</v>
      </c>
      <c r="J1355" t="s">
        <v>25</v>
      </c>
      <c r="K1355" s="4">
        <f>Table1[[#This Row],[Sales]]*Table1[[#This Row],[Quantity]]</f>
        <v>179436</v>
      </c>
      <c r="L1355" s="4">
        <f>Table1[[#This Row],[Revenue]]-(Table1[[#This Row],[Revenue]]*Table1[[#This Row],[Discount]]/100)</f>
        <v>134577</v>
      </c>
    </row>
    <row r="1356" spans="1:12" x14ac:dyDescent="0.55000000000000004">
      <c r="A1356" t="s">
        <v>1385</v>
      </c>
      <c r="B1356" s="2">
        <v>44942</v>
      </c>
      <c r="C1356" t="s">
        <v>19</v>
      </c>
      <c r="D1356" t="s">
        <v>27</v>
      </c>
      <c r="E1356" t="s">
        <v>17</v>
      </c>
      <c r="F1356" t="s">
        <v>21</v>
      </c>
      <c r="G1356">
        <v>32057</v>
      </c>
      <c r="H1356">
        <v>6</v>
      </c>
      <c r="I1356">
        <v>6</v>
      </c>
      <c r="J1356" t="s">
        <v>25</v>
      </c>
      <c r="K1356" s="4">
        <f>Table1[[#This Row],[Sales]]*Table1[[#This Row],[Quantity]]</f>
        <v>192342</v>
      </c>
      <c r="L1356" s="4">
        <f>Table1[[#This Row],[Revenue]]-(Table1[[#This Row],[Revenue]]*Table1[[#This Row],[Discount]]/100)</f>
        <v>180801.48</v>
      </c>
    </row>
    <row r="1357" spans="1:12" x14ac:dyDescent="0.55000000000000004">
      <c r="A1357" t="s">
        <v>1386</v>
      </c>
      <c r="B1357" s="2">
        <v>44932</v>
      </c>
      <c r="C1357" t="s">
        <v>24</v>
      </c>
      <c r="D1357" t="s">
        <v>46</v>
      </c>
      <c r="E1357" t="s">
        <v>11</v>
      </c>
      <c r="F1357" t="s">
        <v>29</v>
      </c>
      <c r="G1357">
        <v>12645</v>
      </c>
      <c r="H1357">
        <v>8</v>
      </c>
      <c r="I1357">
        <v>15</v>
      </c>
      <c r="J1357" t="s">
        <v>13</v>
      </c>
      <c r="K1357" s="4">
        <f>Table1[[#This Row],[Sales]]*Table1[[#This Row],[Quantity]]</f>
        <v>101160</v>
      </c>
      <c r="L1357" s="4">
        <f>Table1[[#This Row],[Revenue]]-(Table1[[#This Row],[Revenue]]*Table1[[#This Row],[Discount]]/100)</f>
        <v>85986</v>
      </c>
    </row>
    <row r="1358" spans="1:12" x14ac:dyDescent="0.55000000000000004">
      <c r="A1358" t="s">
        <v>1387</v>
      </c>
      <c r="B1358" s="2">
        <v>45015</v>
      </c>
      <c r="C1358" t="s">
        <v>31</v>
      </c>
      <c r="D1358" t="s">
        <v>20</v>
      </c>
      <c r="E1358" t="s">
        <v>11</v>
      </c>
      <c r="F1358" t="s">
        <v>48</v>
      </c>
      <c r="G1358">
        <v>47271</v>
      </c>
      <c r="H1358">
        <v>5</v>
      </c>
      <c r="I1358">
        <v>26</v>
      </c>
      <c r="J1358" t="s">
        <v>13</v>
      </c>
      <c r="K1358" s="4">
        <f>Table1[[#This Row],[Sales]]*Table1[[#This Row],[Quantity]]</f>
        <v>236355</v>
      </c>
      <c r="L1358" s="4">
        <f>Table1[[#This Row],[Revenue]]-(Table1[[#This Row],[Revenue]]*Table1[[#This Row],[Discount]]/100)</f>
        <v>174902.7</v>
      </c>
    </row>
    <row r="1359" spans="1:12" x14ac:dyDescent="0.55000000000000004">
      <c r="A1359" t="s">
        <v>1388</v>
      </c>
      <c r="B1359" s="2">
        <v>45032</v>
      </c>
      <c r="C1359" t="s">
        <v>31</v>
      </c>
      <c r="D1359" t="s">
        <v>16</v>
      </c>
      <c r="E1359" t="s">
        <v>11</v>
      </c>
      <c r="F1359" t="s">
        <v>44</v>
      </c>
      <c r="G1359">
        <v>18266</v>
      </c>
      <c r="H1359">
        <v>7</v>
      </c>
      <c r="I1359">
        <v>8</v>
      </c>
      <c r="J1359" t="s">
        <v>13</v>
      </c>
      <c r="K1359" s="4">
        <f>Table1[[#This Row],[Sales]]*Table1[[#This Row],[Quantity]]</f>
        <v>127862</v>
      </c>
      <c r="L1359" s="4">
        <f>Table1[[#This Row],[Revenue]]-(Table1[[#This Row],[Revenue]]*Table1[[#This Row],[Discount]]/100)</f>
        <v>117633.04000000001</v>
      </c>
    </row>
    <row r="1360" spans="1:12" x14ac:dyDescent="0.55000000000000004">
      <c r="A1360" t="s">
        <v>1389</v>
      </c>
      <c r="B1360" s="2">
        <v>45143</v>
      </c>
      <c r="C1360" t="s">
        <v>31</v>
      </c>
      <c r="D1360" t="s">
        <v>20</v>
      </c>
      <c r="E1360" t="s">
        <v>17</v>
      </c>
      <c r="F1360" t="s">
        <v>29</v>
      </c>
      <c r="G1360">
        <v>36364</v>
      </c>
      <c r="H1360">
        <v>6</v>
      </c>
      <c r="I1360">
        <v>9</v>
      </c>
      <c r="J1360" t="s">
        <v>25</v>
      </c>
      <c r="K1360" s="4">
        <f>Table1[[#This Row],[Sales]]*Table1[[#This Row],[Quantity]]</f>
        <v>218184</v>
      </c>
      <c r="L1360" s="4">
        <f>Table1[[#This Row],[Revenue]]-(Table1[[#This Row],[Revenue]]*Table1[[#This Row],[Discount]]/100)</f>
        <v>198547.44</v>
      </c>
    </row>
    <row r="1361" spans="1:12" x14ac:dyDescent="0.55000000000000004">
      <c r="A1361" t="s">
        <v>1390</v>
      </c>
      <c r="B1361" s="2">
        <v>45221</v>
      </c>
      <c r="C1361" t="s">
        <v>31</v>
      </c>
      <c r="D1361" t="s">
        <v>37</v>
      </c>
      <c r="E1361" t="s">
        <v>17</v>
      </c>
      <c r="F1361" t="s">
        <v>21</v>
      </c>
      <c r="G1361">
        <v>44703</v>
      </c>
      <c r="H1361">
        <v>4</v>
      </c>
      <c r="I1361">
        <v>19</v>
      </c>
      <c r="J1361" t="s">
        <v>13</v>
      </c>
      <c r="K1361" s="4">
        <f>Table1[[#This Row],[Sales]]*Table1[[#This Row],[Quantity]]</f>
        <v>178812</v>
      </c>
      <c r="L1361" s="4">
        <f>Table1[[#This Row],[Revenue]]-(Table1[[#This Row],[Revenue]]*Table1[[#This Row],[Discount]]/100)</f>
        <v>144837.72</v>
      </c>
    </row>
    <row r="1362" spans="1:12" x14ac:dyDescent="0.55000000000000004">
      <c r="A1362" t="s">
        <v>1391</v>
      </c>
      <c r="B1362" s="2">
        <v>44962</v>
      </c>
      <c r="C1362" t="s">
        <v>31</v>
      </c>
      <c r="D1362" t="s">
        <v>37</v>
      </c>
      <c r="E1362" t="s">
        <v>11</v>
      </c>
      <c r="F1362" t="s">
        <v>29</v>
      </c>
      <c r="G1362">
        <v>49956</v>
      </c>
      <c r="H1362">
        <v>3</v>
      </c>
      <c r="I1362">
        <v>16</v>
      </c>
      <c r="J1362" t="s">
        <v>22</v>
      </c>
      <c r="K1362" s="4">
        <f>Table1[[#This Row],[Sales]]*Table1[[#This Row],[Quantity]]</f>
        <v>149868</v>
      </c>
      <c r="L1362" s="4">
        <f>Table1[[#This Row],[Revenue]]-(Table1[[#This Row],[Revenue]]*Table1[[#This Row],[Discount]]/100)</f>
        <v>125889.12</v>
      </c>
    </row>
    <row r="1363" spans="1:12" x14ac:dyDescent="0.55000000000000004">
      <c r="A1363" t="s">
        <v>1392</v>
      </c>
      <c r="B1363" s="2">
        <v>45038</v>
      </c>
      <c r="C1363" t="s">
        <v>24</v>
      </c>
      <c r="D1363" t="s">
        <v>37</v>
      </c>
      <c r="E1363" t="s">
        <v>11</v>
      </c>
      <c r="F1363" t="s">
        <v>44</v>
      </c>
      <c r="G1363">
        <v>35626</v>
      </c>
      <c r="H1363">
        <v>5</v>
      </c>
      <c r="I1363">
        <v>20</v>
      </c>
      <c r="J1363" t="s">
        <v>22</v>
      </c>
      <c r="K1363" s="4">
        <f>Table1[[#This Row],[Sales]]*Table1[[#This Row],[Quantity]]</f>
        <v>178130</v>
      </c>
      <c r="L1363" s="4">
        <f>Table1[[#This Row],[Revenue]]-(Table1[[#This Row],[Revenue]]*Table1[[#This Row],[Discount]]/100)</f>
        <v>142504</v>
      </c>
    </row>
    <row r="1364" spans="1:12" x14ac:dyDescent="0.55000000000000004">
      <c r="A1364" t="s">
        <v>1393</v>
      </c>
      <c r="B1364" s="2">
        <v>45007</v>
      </c>
      <c r="C1364" t="s">
        <v>19</v>
      </c>
      <c r="D1364" t="s">
        <v>16</v>
      </c>
      <c r="E1364" t="s">
        <v>11</v>
      </c>
      <c r="F1364" t="s">
        <v>34</v>
      </c>
      <c r="G1364">
        <v>8865</v>
      </c>
      <c r="H1364">
        <v>3</v>
      </c>
      <c r="I1364">
        <v>30</v>
      </c>
      <c r="J1364" t="s">
        <v>22</v>
      </c>
      <c r="K1364" s="4">
        <f>Table1[[#This Row],[Sales]]*Table1[[#This Row],[Quantity]]</f>
        <v>26595</v>
      </c>
      <c r="L1364" s="4">
        <f>Table1[[#This Row],[Revenue]]-(Table1[[#This Row],[Revenue]]*Table1[[#This Row],[Discount]]/100)</f>
        <v>18616.5</v>
      </c>
    </row>
    <row r="1365" spans="1:12" x14ac:dyDescent="0.55000000000000004">
      <c r="A1365" t="s">
        <v>1394</v>
      </c>
      <c r="B1365" s="2">
        <v>45160</v>
      </c>
      <c r="C1365" t="s">
        <v>31</v>
      </c>
      <c r="D1365" t="s">
        <v>16</v>
      </c>
      <c r="E1365" t="s">
        <v>11</v>
      </c>
      <c r="F1365" t="s">
        <v>38</v>
      </c>
      <c r="G1365">
        <v>36159</v>
      </c>
      <c r="H1365">
        <v>5</v>
      </c>
      <c r="I1365">
        <v>2</v>
      </c>
      <c r="J1365" t="s">
        <v>22</v>
      </c>
      <c r="K1365" s="4">
        <f>Table1[[#This Row],[Sales]]*Table1[[#This Row],[Quantity]]</f>
        <v>180795</v>
      </c>
      <c r="L1365" s="4">
        <f>Table1[[#This Row],[Revenue]]-(Table1[[#This Row],[Revenue]]*Table1[[#This Row],[Discount]]/100)</f>
        <v>177179.1</v>
      </c>
    </row>
    <row r="1366" spans="1:12" x14ac:dyDescent="0.55000000000000004">
      <c r="A1366" t="s">
        <v>1395</v>
      </c>
      <c r="B1366" s="2">
        <v>45125</v>
      </c>
      <c r="C1366" t="s">
        <v>31</v>
      </c>
      <c r="D1366" t="s">
        <v>46</v>
      </c>
      <c r="E1366" t="s">
        <v>11</v>
      </c>
      <c r="F1366" t="s">
        <v>12</v>
      </c>
      <c r="G1366">
        <v>19761</v>
      </c>
      <c r="H1366">
        <v>8</v>
      </c>
      <c r="I1366">
        <v>11</v>
      </c>
      <c r="J1366" t="s">
        <v>25</v>
      </c>
      <c r="K1366" s="4">
        <f>Table1[[#This Row],[Sales]]*Table1[[#This Row],[Quantity]]</f>
        <v>158088</v>
      </c>
      <c r="L1366" s="4">
        <f>Table1[[#This Row],[Revenue]]-(Table1[[#This Row],[Revenue]]*Table1[[#This Row],[Discount]]/100)</f>
        <v>140698.32</v>
      </c>
    </row>
    <row r="1367" spans="1:12" x14ac:dyDescent="0.55000000000000004">
      <c r="A1367" t="s">
        <v>1396</v>
      </c>
      <c r="B1367" s="2">
        <v>45197</v>
      </c>
      <c r="C1367" t="s">
        <v>15</v>
      </c>
      <c r="D1367" t="s">
        <v>20</v>
      </c>
      <c r="E1367" t="s">
        <v>17</v>
      </c>
      <c r="F1367" t="s">
        <v>29</v>
      </c>
      <c r="G1367">
        <v>46062</v>
      </c>
      <c r="H1367">
        <v>6</v>
      </c>
      <c r="I1367">
        <v>27</v>
      </c>
      <c r="J1367" t="s">
        <v>13</v>
      </c>
      <c r="K1367" s="4">
        <f>Table1[[#This Row],[Sales]]*Table1[[#This Row],[Quantity]]</f>
        <v>276372</v>
      </c>
      <c r="L1367" s="4">
        <f>Table1[[#This Row],[Revenue]]-(Table1[[#This Row],[Revenue]]*Table1[[#This Row],[Discount]]/100)</f>
        <v>201751.56</v>
      </c>
    </row>
    <row r="1368" spans="1:12" x14ac:dyDescent="0.55000000000000004">
      <c r="A1368" t="s">
        <v>1397</v>
      </c>
      <c r="B1368" s="2">
        <v>45285</v>
      </c>
      <c r="C1368" t="s">
        <v>24</v>
      </c>
      <c r="D1368" t="s">
        <v>37</v>
      </c>
      <c r="E1368" t="s">
        <v>11</v>
      </c>
      <c r="F1368" t="s">
        <v>21</v>
      </c>
      <c r="G1368">
        <v>17546</v>
      </c>
      <c r="H1368">
        <v>1</v>
      </c>
      <c r="I1368">
        <v>6</v>
      </c>
      <c r="J1368" t="s">
        <v>13</v>
      </c>
      <c r="K1368" s="4">
        <f>Table1[[#This Row],[Sales]]*Table1[[#This Row],[Quantity]]</f>
        <v>17546</v>
      </c>
      <c r="L1368" s="4">
        <f>Table1[[#This Row],[Revenue]]-(Table1[[#This Row],[Revenue]]*Table1[[#This Row],[Discount]]/100)</f>
        <v>16493.240000000002</v>
      </c>
    </row>
    <row r="1369" spans="1:12" x14ac:dyDescent="0.55000000000000004">
      <c r="A1369" t="s">
        <v>1398</v>
      </c>
      <c r="B1369" s="2">
        <v>44974</v>
      </c>
      <c r="C1369" t="s">
        <v>15</v>
      </c>
      <c r="D1369" t="s">
        <v>16</v>
      </c>
      <c r="E1369" t="s">
        <v>11</v>
      </c>
      <c r="F1369" t="s">
        <v>44</v>
      </c>
      <c r="G1369">
        <v>832</v>
      </c>
      <c r="H1369">
        <v>7</v>
      </c>
      <c r="I1369">
        <v>2</v>
      </c>
      <c r="J1369" t="s">
        <v>22</v>
      </c>
      <c r="K1369" s="4">
        <f>Table1[[#This Row],[Sales]]*Table1[[#This Row],[Quantity]]</f>
        <v>5824</v>
      </c>
      <c r="L1369" s="4">
        <f>Table1[[#This Row],[Revenue]]-(Table1[[#This Row],[Revenue]]*Table1[[#This Row],[Discount]]/100)</f>
        <v>5707.52</v>
      </c>
    </row>
    <row r="1370" spans="1:12" x14ac:dyDescent="0.55000000000000004">
      <c r="A1370" t="s">
        <v>1399</v>
      </c>
      <c r="B1370" s="2">
        <v>44982</v>
      </c>
      <c r="C1370" t="s">
        <v>24</v>
      </c>
      <c r="D1370" t="s">
        <v>16</v>
      </c>
      <c r="E1370" t="s">
        <v>11</v>
      </c>
      <c r="F1370" t="s">
        <v>48</v>
      </c>
      <c r="G1370">
        <v>2136</v>
      </c>
      <c r="H1370">
        <v>8</v>
      </c>
      <c r="I1370">
        <v>4</v>
      </c>
      <c r="J1370" t="s">
        <v>25</v>
      </c>
      <c r="K1370" s="4">
        <f>Table1[[#This Row],[Sales]]*Table1[[#This Row],[Quantity]]</f>
        <v>17088</v>
      </c>
      <c r="L1370" s="4">
        <f>Table1[[#This Row],[Revenue]]-(Table1[[#This Row],[Revenue]]*Table1[[#This Row],[Discount]]/100)</f>
        <v>16404.48</v>
      </c>
    </row>
    <row r="1371" spans="1:12" x14ac:dyDescent="0.55000000000000004">
      <c r="A1371" t="s">
        <v>1400</v>
      </c>
      <c r="B1371" s="2">
        <v>45243</v>
      </c>
      <c r="C1371" t="s">
        <v>24</v>
      </c>
      <c r="D1371" t="s">
        <v>46</v>
      </c>
      <c r="E1371" t="s">
        <v>11</v>
      </c>
      <c r="F1371" t="s">
        <v>29</v>
      </c>
      <c r="G1371">
        <v>48184</v>
      </c>
      <c r="H1371">
        <v>10</v>
      </c>
      <c r="I1371">
        <v>10</v>
      </c>
      <c r="J1371" t="s">
        <v>22</v>
      </c>
      <c r="K1371" s="4">
        <f>Table1[[#This Row],[Sales]]*Table1[[#This Row],[Quantity]]</f>
        <v>481840</v>
      </c>
      <c r="L1371" s="4">
        <f>Table1[[#This Row],[Revenue]]-(Table1[[#This Row],[Revenue]]*Table1[[#This Row],[Discount]]/100)</f>
        <v>433656</v>
      </c>
    </row>
    <row r="1372" spans="1:12" x14ac:dyDescent="0.55000000000000004">
      <c r="A1372" t="s">
        <v>1401</v>
      </c>
      <c r="B1372" s="2">
        <v>44965</v>
      </c>
      <c r="C1372" t="s">
        <v>24</v>
      </c>
      <c r="D1372" t="s">
        <v>16</v>
      </c>
      <c r="E1372" t="s">
        <v>17</v>
      </c>
      <c r="F1372" t="s">
        <v>12</v>
      </c>
      <c r="G1372">
        <v>32791</v>
      </c>
      <c r="H1372">
        <v>2</v>
      </c>
      <c r="I1372">
        <v>7</v>
      </c>
      <c r="J1372" t="s">
        <v>13</v>
      </c>
      <c r="K1372" s="4">
        <f>Table1[[#This Row],[Sales]]*Table1[[#This Row],[Quantity]]</f>
        <v>65582</v>
      </c>
      <c r="L1372" s="4">
        <f>Table1[[#This Row],[Revenue]]-(Table1[[#This Row],[Revenue]]*Table1[[#This Row],[Discount]]/100)</f>
        <v>60991.26</v>
      </c>
    </row>
    <row r="1373" spans="1:12" x14ac:dyDescent="0.55000000000000004">
      <c r="A1373" t="s">
        <v>1402</v>
      </c>
      <c r="B1373" s="2">
        <v>45215</v>
      </c>
      <c r="C1373" t="s">
        <v>24</v>
      </c>
      <c r="D1373" t="s">
        <v>46</v>
      </c>
      <c r="E1373" t="s">
        <v>11</v>
      </c>
      <c r="F1373" t="s">
        <v>12</v>
      </c>
      <c r="G1373">
        <v>44701</v>
      </c>
      <c r="H1373">
        <v>6</v>
      </c>
      <c r="I1373">
        <v>13</v>
      </c>
      <c r="J1373" t="s">
        <v>13</v>
      </c>
      <c r="K1373" s="4">
        <f>Table1[[#This Row],[Sales]]*Table1[[#This Row],[Quantity]]</f>
        <v>268206</v>
      </c>
      <c r="L1373" s="4">
        <f>Table1[[#This Row],[Revenue]]-(Table1[[#This Row],[Revenue]]*Table1[[#This Row],[Discount]]/100)</f>
        <v>233339.22</v>
      </c>
    </row>
    <row r="1374" spans="1:12" x14ac:dyDescent="0.55000000000000004">
      <c r="A1374" t="s">
        <v>1403</v>
      </c>
      <c r="B1374" s="2">
        <v>45276</v>
      </c>
      <c r="C1374" t="s">
        <v>19</v>
      </c>
      <c r="D1374" t="s">
        <v>16</v>
      </c>
      <c r="E1374" t="s">
        <v>17</v>
      </c>
      <c r="F1374" t="s">
        <v>48</v>
      </c>
      <c r="G1374">
        <v>8130</v>
      </c>
      <c r="H1374">
        <v>10</v>
      </c>
      <c r="I1374">
        <v>7</v>
      </c>
      <c r="J1374" t="s">
        <v>25</v>
      </c>
      <c r="K1374" s="4">
        <f>Table1[[#This Row],[Sales]]*Table1[[#This Row],[Quantity]]</f>
        <v>81300</v>
      </c>
      <c r="L1374" s="4">
        <f>Table1[[#This Row],[Revenue]]-(Table1[[#This Row],[Revenue]]*Table1[[#This Row],[Discount]]/100)</f>
        <v>75609</v>
      </c>
    </row>
    <row r="1375" spans="1:12" x14ac:dyDescent="0.55000000000000004">
      <c r="A1375" t="s">
        <v>1404</v>
      </c>
      <c r="B1375" s="2">
        <v>44961</v>
      </c>
      <c r="C1375" t="s">
        <v>31</v>
      </c>
      <c r="D1375" t="s">
        <v>27</v>
      </c>
      <c r="E1375" t="s">
        <v>17</v>
      </c>
      <c r="F1375" t="s">
        <v>38</v>
      </c>
      <c r="G1375">
        <v>33278</v>
      </c>
      <c r="H1375">
        <v>5</v>
      </c>
      <c r="I1375">
        <v>28</v>
      </c>
      <c r="J1375" t="s">
        <v>13</v>
      </c>
      <c r="K1375" s="4">
        <f>Table1[[#This Row],[Sales]]*Table1[[#This Row],[Quantity]]</f>
        <v>166390</v>
      </c>
      <c r="L1375" s="4">
        <f>Table1[[#This Row],[Revenue]]-(Table1[[#This Row],[Revenue]]*Table1[[#This Row],[Discount]]/100)</f>
        <v>119800.8</v>
      </c>
    </row>
    <row r="1376" spans="1:12" x14ac:dyDescent="0.55000000000000004">
      <c r="A1376" t="s">
        <v>1405</v>
      </c>
      <c r="B1376" s="2">
        <v>45055</v>
      </c>
      <c r="C1376" t="s">
        <v>15</v>
      </c>
      <c r="D1376" t="s">
        <v>27</v>
      </c>
      <c r="E1376" t="s">
        <v>17</v>
      </c>
      <c r="F1376" t="s">
        <v>21</v>
      </c>
      <c r="G1376">
        <v>27681</v>
      </c>
      <c r="H1376">
        <v>7</v>
      </c>
      <c r="I1376">
        <v>28</v>
      </c>
      <c r="J1376" t="s">
        <v>22</v>
      </c>
      <c r="K1376" s="4">
        <f>Table1[[#This Row],[Sales]]*Table1[[#This Row],[Quantity]]</f>
        <v>193767</v>
      </c>
      <c r="L1376" s="4">
        <f>Table1[[#This Row],[Revenue]]-(Table1[[#This Row],[Revenue]]*Table1[[#This Row],[Discount]]/100)</f>
        <v>139512.24</v>
      </c>
    </row>
    <row r="1377" spans="1:12" x14ac:dyDescent="0.55000000000000004">
      <c r="A1377" t="s">
        <v>1406</v>
      </c>
      <c r="B1377" s="2">
        <v>45134</v>
      </c>
      <c r="C1377" t="s">
        <v>24</v>
      </c>
      <c r="D1377" t="s">
        <v>16</v>
      </c>
      <c r="E1377" t="s">
        <v>17</v>
      </c>
      <c r="F1377" t="s">
        <v>48</v>
      </c>
      <c r="G1377">
        <v>3332</v>
      </c>
      <c r="H1377">
        <v>5</v>
      </c>
      <c r="I1377">
        <v>10</v>
      </c>
      <c r="J1377" t="s">
        <v>25</v>
      </c>
      <c r="K1377" s="4">
        <f>Table1[[#This Row],[Sales]]*Table1[[#This Row],[Quantity]]</f>
        <v>16660</v>
      </c>
      <c r="L1377" s="4">
        <f>Table1[[#This Row],[Revenue]]-(Table1[[#This Row],[Revenue]]*Table1[[#This Row],[Discount]]/100)</f>
        <v>14994</v>
      </c>
    </row>
    <row r="1378" spans="1:12" x14ac:dyDescent="0.55000000000000004">
      <c r="A1378" t="s">
        <v>1407</v>
      </c>
      <c r="B1378" s="2">
        <v>45130</v>
      </c>
      <c r="C1378" t="s">
        <v>15</v>
      </c>
      <c r="D1378" t="s">
        <v>37</v>
      </c>
      <c r="E1378" t="s">
        <v>17</v>
      </c>
      <c r="F1378" t="s">
        <v>34</v>
      </c>
      <c r="G1378">
        <v>30568</v>
      </c>
      <c r="H1378">
        <v>10</v>
      </c>
      <c r="I1378">
        <v>4</v>
      </c>
      <c r="J1378" t="s">
        <v>22</v>
      </c>
      <c r="K1378" s="4">
        <f>Table1[[#This Row],[Sales]]*Table1[[#This Row],[Quantity]]</f>
        <v>305680</v>
      </c>
      <c r="L1378" s="4">
        <f>Table1[[#This Row],[Revenue]]-(Table1[[#This Row],[Revenue]]*Table1[[#This Row],[Discount]]/100)</f>
        <v>293452.79999999999</v>
      </c>
    </row>
    <row r="1379" spans="1:12" x14ac:dyDescent="0.55000000000000004">
      <c r="A1379" t="s">
        <v>1408</v>
      </c>
      <c r="B1379" s="2">
        <v>45015</v>
      </c>
      <c r="C1379" t="s">
        <v>31</v>
      </c>
      <c r="D1379" t="s">
        <v>16</v>
      </c>
      <c r="E1379" t="s">
        <v>11</v>
      </c>
      <c r="F1379" t="s">
        <v>12</v>
      </c>
      <c r="G1379">
        <v>3474</v>
      </c>
      <c r="H1379">
        <v>9</v>
      </c>
      <c r="I1379">
        <v>29</v>
      </c>
      <c r="J1379" t="s">
        <v>13</v>
      </c>
      <c r="K1379" s="4">
        <f>Table1[[#This Row],[Sales]]*Table1[[#This Row],[Quantity]]</f>
        <v>31266</v>
      </c>
      <c r="L1379" s="4">
        <f>Table1[[#This Row],[Revenue]]-(Table1[[#This Row],[Revenue]]*Table1[[#This Row],[Discount]]/100)</f>
        <v>22198.86</v>
      </c>
    </row>
    <row r="1380" spans="1:12" x14ac:dyDescent="0.55000000000000004">
      <c r="A1380" t="s">
        <v>1409</v>
      </c>
      <c r="B1380" s="2">
        <v>45269</v>
      </c>
      <c r="C1380" t="s">
        <v>19</v>
      </c>
      <c r="D1380" t="s">
        <v>20</v>
      </c>
      <c r="E1380" t="s">
        <v>11</v>
      </c>
      <c r="F1380" t="s">
        <v>38</v>
      </c>
      <c r="G1380">
        <v>12879</v>
      </c>
      <c r="H1380">
        <v>4</v>
      </c>
      <c r="I1380">
        <v>28</v>
      </c>
      <c r="J1380" t="s">
        <v>25</v>
      </c>
      <c r="K1380" s="4">
        <f>Table1[[#This Row],[Sales]]*Table1[[#This Row],[Quantity]]</f>
        <v>51516</v>
      </c>
      <c r="L1380" s="4">
        <f>Table1[[#This Row],[Revenue]]-(Table1[[#This Row],[Revenue]]*Table1[[#This Row],[Discount]]/100)</f>
        <v>37091.520000000004</v>
      </c>
    </row>
    <row r="1381" spans="1:12" x14ac:dyDescent="0.55000000000000004">
      <c r="A1381" t="s">
        <v>1410</v>
      </c>
      <c r="B1381" s="2">
        <v>44953</v>
      </c>
      <c r="C1381" t="s">
        <v>19</v>
      </c>
      <c r="D1381" t="s">
        <v>16</v>
      </c>
      <c r="E1381" t="s">
        <v>11</v>
      </c>
      <c r="F1381" t="s">
        <v>12</v>
      </c>
      <c r="G1381">
        <v>36795</v>
      </c>
      <c r="H1381">
        <v>4</v>
      </c>
      <c r="I1381">
        <v>22</v>
      </c>
      <c r="J1381" t="s">
        <v>25</v>
      </c>
      <c r="K1381" s="4">
        <f>Table1[[#This Row],[Sales]]*Table1[[#This Row],[Quantity]]</f>
        <v>147180</v>
      </c>
      <c r="L1381" s="4">
        <f>Table1[[#This Row],[Revenue]]-(Table1[[#This Row],[Revenue]]*Table1[[#This Row],[Discount]]/100)</f>
        <v>114800.4</v>
      </c>
    </row>
    <row r="1382" spans="1:12" x14ac:dyDescent="0.55000000000000004">
      <c r="A1382" t="s">
        <v>1411</v>
      </c>
      <c r="B1382" s="2">
        <v>45212</v>
      </c>
      <c r="C1382" t="s">
        <v>15</v>
      </c>
      <c r="D1382" t="s">
        <v>46</v>
      </c>
      <c r="E1382" t="s">
        <v>17</v>
      </c>
      <c r="F1382" t="s">
        <v>12</v>
      </c>
      <c r="G1382">
        <v>17017</v>
      </c>
      <c r="H1382">
        <v>9</v>
      </c>
      <c r="I1382">
        <v>28</v>
      </c>
      <c r="J1382" t="s">
        <v>13</v>
      </c>
      <c r="K1382" s="4">
        <f>Table1[[#This Row],[Sales]]*Table1[[#This Row],[Quantity]]</f>
        <v>153153</v>
      </c>
      <c r="L1382" s="4">
        <f>Table1[[#This Row],[Revenue]]-(Table1[[#This Row],[Revenue]]*Table1[[#This Row],[Discount]]/100)</f>
        <v>110270.16</v>
      </c>
    </row>
    <row r="1383" spans="1:12" x14ac:dyDescent="0.55000000000000004">
      <c r="A1383" t="s">
        <v>1412</v>
      </c>
      <c r="B1383" s="2">
        <v>45073</v>
      </c>
      <c r="C1383" t="s">
        <v>31</v>
      </c>
      <c r="D1383" t="s">
        <v>46</v>
      </c>
      <c r="E1383" t="s">
        <v>11</v>
      </c>
      <c r="F1383" t="s">
        <v>29</v>
      </c>
      <c r="G1383">
        <v>6543</v>
      </c>
      <c r="H1383">
        <v>2</v>
      </c>
      <c r="I1383">
        <v>20</v>
      </c>
      <c r="J1383" t="s">
        <v>25</v>
      </c>
      <c r="K1383" s="4">
        <f>Table1[[#This Row],[Sales]]*Table1[[#This Row],[Quantity]]</f>
        <v>13086</v>
      </c>
      <c r="L1383" s="4">
        <f>Table1[[#This Row],[Revenue]]-(Table1[[#This Row],[Revenue]]*Table1[[#This Row],[Discount]]/100)</f>
        <v>10468.799999999999</v>
      </c>
    </row>
    <row r="1384" spans="1:12" x14ac:dyDescent="0.55000000000000004">
      <c r="A1384" t="s">
        <v>1413</v>
      </c>
      <c r="B1384" s="2">
        <v>45068</v>
      </c>
      <c r="C1384" t="s">
        <v>19</v>
      </c>
      <c r="D1384" t="s">
        <v>37</v>
      </c>
      <c r="E1384" t="s">
        <v>17</v>
      </c>
      <c r="F1384" t="s">
        <v>38</v>
      </c>
      <c r="G1384">
        <v>2164</v>
      </c>
      <c r="H1384">
        <v>1</v>
      </c>
      <c r="I1384">
        <v>8</v>
      </c>
      <c r="J1384" t="s">
        <v>13</v>
      </c>
      <c r="K1384" s="4">
        <f>Table1[[#This Row],[Sales]]*Table1[[#This Row],[Quantity]]</f>
        <v>2164</v>
      </c>
      <c r="L1384" s="4">
        <f>Table1[[#This Row],[Revenue]]-(Table1[[#This Row],[Revenue]]*Table1[[#This Row],[Discount]]/100)</f>
        <v>1990.88</v>
      </c>
    </row>
    <row r="1385" spans="1:12" x14ac:dyDescent="0.55000000000000004">
      <c r="A1385" t="s">
        <v>1414</v>
      </c>
      <c r="B1385" s="2">
        <v>45227</v>
      </c>
      <c r="C1385" t="s">
        <v>31</v>
      </c>
      <c r="D1385" t="s">
        <v>20</v>
      </c>
      <c r="E1385" t="s">
        <v>17</v>
      </c>
      <c r="F1385" t="s">
        <v>29</v>
      </c>
      <c r="G1385">
        <v>18331</v>
      </c>
      <c r="H1385">
        <v>7</v>
      </c>
      <c r="I1385">
        <v>8</v>
      </c>
      <c r="J1385" t="s">
        <v>22</v>
      </c>
      <c r="K1385" s="4">
        <f>Table1[[#This Row],[Sales]]*Table1[[#This Row],[Quantity]]</f>
        <v>128317</v>
      </c>
      <c r="L1385" s="4">
        <f>Table1[[#This Row],[Revenue]]-(Table1[[#This Row],[Revenue]]*Table1[[#This Row],[Discount]]/100)</f>
        <v>118051.64</v>
      </c>
    </row>
    <row r="1386" spans="1:12" x14ac:dyDescent="0.55000000000000004">
      <c r="A1386" t="s">
        <v>1415</v>
      </c>
      <c r="B1386" s="2">
        <v>45247</v>
      </c>
      <c r="C1386" t="s">
        <v>15</v>
      </c>
      <c r="D1386" t="s">
        <v>46</v>
      </c>
      <c r="E1386" t="s">
        <v>17</v>
      </c>
      <c r="F1386" t="s">
        <v>29</v>
      </c>
      <c r="G1386">
        <v>11065</v>
      </c>
      <c r="H1386">
        <v>7</v>
      </c>
      <c r="I1386">
        <v>19</v>
      </c>
      <c r="J1386" t="s">
        <v>22</v>
      </c>
      <c r="K1386" s="4">
        <f>Table1[[#This Row],[Sales]]*Table1[[#This Row],[Quantity]]</f>
        <v>77455</v>
      </c>
      <c r="L1386" s="4">
        <f>Table1[[#This Row],[Revenue]]-(Table1[[#This Row],[Revenue]]*Table1[[#This Row],[Discount]]/100)</f>
        <v>62738.55</v>
      </c>
    </row>
    <row r="1387" spans="1:12" x14ac:dyDescent="0.55000000000000004">
      <c r="A1387" t="s">
        <v>1416</v>
      </c>
      <c r="B1387" s="2">
        <v>45283</v>
      </c>
      <c r="C1387" t="s">
        <v>19</v>
      </c>
      <c r="D1387" t="s">
        <v>37</v>
      </c>
      <c r="E1387" t="s">
        <v>17</v>
      </c>
      <c r="F1387" t="s">
        <v>44</v>
      </c>
      <c r="G1387">
        <v>2108</v>
      </c>
      <c r="H1387">
        <v>4</v>
      </c>
      <c r="I1387">
        <v>29</v>
      </c>
      <c r="J1387" t="s">
        <v>13</v>
      </c>
      <c r="K1387" s="4">
        <f>Table1[[#This Row],[Sales]]*Table1[[#This Row],[Quantity]]</f>
        <v>8432</v>
      </c>
      <c r="L1387" s="4">
        <f>Table1[[#This Row],[Revenue]]-(Table1[[#This Row],[Revenue]]*Table1[[#This Row],[Discount]]/100)</f>
        <v>5986.7199999999993</v>
      </c>
    </row>
    <row r="1388" spans="1:12" x14ac:dyDescent="0.55000000000000004">
      <c r="A1388" t="s">
        <v>1417</v>
      </c>
      <c r="B1388" s="2">
        <v>45212</v>
      </c>
      <c r="C1388" t="s">
        <v>31</v>
      </c>
      <c r="D1388" t="s">
        <v>16</v>
      </c>
      <c r="E1388" t="s">
        <v>17</v>
      </c>
      <c r="F1388" t="s">
        <v>12</v>
      </c>
      <c r="G1388">
        <v>19017</v>
      </c>
      <c r="H1388">
        <v>5</v>
      </c>
      <c r="I1388">
        <v>4</v>
      </c>
      <c r="J1388" t="s">
        <v>13</v>
      </c>
      <c r="K1388" s="4">
        <f>Table1[[#This Row],[Sales]]*Table1[[#This Row],[Quantity]]</f>
        <v>95085</v>
      </c>
      <c r="L1388" s="4">
        <f>Table1[[#This Row],[Revenue]]-(Table1[[#This Row],[Revenue]]*Table1[[#This Row],[Discount]]/100)</f>
        <v>91281.600000000006</v>
      </c>
    </row>
    <row r="1389" spans="1:12" x14ac:dyDescent="0.55000000000000004">
      <c r="A1389" t="s">
        <v>1418</v>
      </c>
      <c r="B1389" s="2">
        <v>45195</v>
      </c>
      <c r="C1389" t="s">
        <v>15</v>
      </c>
      <c r="D1389" t="s">
        <v>16</v>
      </c>
      <c r="E1389" t="s">
        <v>11</v>
      </c>
      <c r="F1389" t="s">
        <v>48</v>
      </c>
      <c r="G1389">
        <v>9062</v>
      </c>
      <c r="H1389">
        <v>8</v>
      </c>
      <c r="I1389">
        <v>16</v>
      </c>
      <c r="J1389" t="s">
        <v>25</v>
      </c>
      <c r="K1389" s="4">
        <f>Table1[[#This Row],[Sales]]*Table1[[#This Row],[Quantity]]</f>
        <v>72496</v>
      </c>
      <c r="L1389" s="4">
        <f>Table1[[#This Row],[Revenue]]-(Table1[[#This Row],[Revenue]]*Table1[[#This Row],[Discount]]/100)</f>
        <v>60896.639999999999</v>
      </c>
    </row>
    <row r="1390" spans="1:12" x14ac:dyDescent="0.55000000000000004">
      <c r="A1390" t="s">
        <v>1419</v>
      </c>
      <c r="B1390" s="2">
        <v>45102</v>
      </c>
      <c r="C1390" t="s">
        <v>15</v>
      </c>
      <c r="D1390" t="s">
        <v>37</v>
      </c>
      <c r="E1390" t="s">
        <v>11</v>
      </c>
      <c r="F1390" t="s">
        <v>12</v>
      </c>
      <c r="G1390">
        <v>45588</v>
      </c>
      <c r="H1390">
        <v>3</v>
      </c>
      <c r="I1390">
        <v>30</v>
      </c>
      <c r="J1390" t="s">
        <v>25</v>
      </c>
      <c r="K1390" s="4">
        <f>Table1[[#This Row],[Sales]]*Table1[[#This Row],[Quantity]]</f>
        <v>136764</v>
      </c>
      <c r="L1390" s="4">
        <f>Table1[[#This Row],[Revenue]]-(Table1[[#This Row],[Revenue]]*Table1[[#This Row],[Discount]]/100)</f>
        <v>95734.8</v>
      </c>
    </row>
    <row r="1391" spans="1:12" x14ac:dyDescent="0.55000000000000004">
      <c r="A1391" t="s">
        <v>1420</v>
      </c>
      <c r="B1391" s="2">
        <v>45063</v>
      </c>
      <c r="C1391" t="s">
        <v>15</v>
      </c>
      <c r="D1391" t="s">
        <v>20</v>
      </c>
      <c r="E1391" t="s">
        <v>11</v>
      </c>
      <c r="F1391" t="s">
        <v>21</v>
      </c>
      <c r="G1391">
        <v>9616</v>
      </c>
      <c r="H1391">
        <v>7</v>
      </c>
      <c r="I1391">
        <v>16</v>
      </c>
      <c r="J1391" t="s">
        <v>13</v>
      </c>
      <c r="K1391" s="4">
        <f>Table1[[#This Row],[Sales]]*Table1[[#This Row],[Quantity]]</f>
        <v>67312</v>
      </c>
      <c r="L1391" s="4">
        <f>Table1[[#This Row],[Revenue]]-(Table1[[#This Row],[Revenue]]*Table1[[#This Row],[Discount]]/100)</f>
        <v>56542.080000000002</v>
      </c>
    </row>
    <row r="1392" spans="1:12" x14ac:dyDescent="0.55000000000000004">
      <c r="A1392" t="s">
        <v>1421</v>
      </c>
      <c r="B1392" s="2">
        <v>45051</v>
      </c>
      <c r="C1392" t="s">
        <v>31</v>
      </c>
      <c r="D1392" t="s">
        <v>20</v>
      </c>
      <c r="E1392" t="s">
        <v>17</v>
      </c>
      <c r="F1392" t="s">
        <v>38</v>
      </c>
      <c r="G1392">
        <v>2007</v>
      </c>
      <c r="H1392">
        <v>2</v>
      </c>
      <c r="I1392">
        <v>17</v>
      </c>
      <c r="J1392" t="s">
        <v>25</v>
      </c>
      <c r="K1392" s="4">
        <f>Table1[[#This Row],[Sales]]*Table1[[#This Row],[Quantity]]</f>
        <v>4014</v>
      </c>
      <c r="L1392" s="4">
        <f>Table1[[#This Row],[Revenue]]-(Table1[[#This Row],[Revenue]]*Table1[[#This Row],[Discount]]/100)</f>
        <v>3331.62</v>
      </c>
    </row>
    <row r="1393" spans="1:12" x14ac:dyDescent="0.55000000000000004">
      <c r="A1393" t="s">
        <v>1422</v>
      </c>
      <c r="B1393" s="2">
        <v>45233</v>
      </c>
      <c r="C1393" t="s">
        <v>19</v>
      </c>
      <c r="D1393" t="s">
        <v>46</v>
      </c>
      <c r="E1393" t="s">
        <v>11</v>
      </c>
      <c r="F1393" t="s">
        <v>21</v>
      </c>
      <c r="G1393">
        <v>24511</v>
      </c>
      <c r="H1393">
        <v>4</v>
      </c>
      <c r="I1393">
        <v>23</v>
      </c>
      <c r="J1393" t="s">
        <v>25</v>
      </c>
      <c r="K1393" s="4">
        <f>Table1[[#This Row],[Sales]]*Table1[[#This Row],[Quantity]]</f>
        <v>98044</v>
      </c>
      <c r="L1393" s="4">
        <f>Table1[[#This Row],[Revenue]]-(Table1[[#This Row],[Revenue]]*Table1[[#This Row],[Discount]]/100)</f>
        <v>75493.88</v>
      </c>
    </row>
    <row r="1394" spans="1:12" x14ac:dyDescent="0.55000000000000004">
      <c r="A1394" t="s">
        <v>1423</v>
      </c>
      <c r="B1394" s="2">
        <v>45212</v>
      </c>
      <c r="C1394" t="s">
        <v>31</v>
      </c>
      <c r="D1394" t="s">
        <v>16</v>
      </c>
      <c r="E1394" t="s">
        <v>11</v>
      </c>
      <c r="F1394" t="s">
        <v>34</v>
      </c>
      <c r="G1394">
        <v>47465</v>
      </c>
      <c r="H1394">
        <v>9</v>
      </c>
      <c r="I1394">
        <v>1</v>
      </c>
      <c r="J1394" t="s">
        <v>13</v>
      </c>
      <c r="K1394" s="4">
        <f>Table1[[#This Row],[Sales]]*Table1[[#This Row],[Quantity]]</f>
        <v>427185</v>
      </c>
      <c r="L1394" s="4">
        <f>Table1[[#This Row],[Revenue]]-(Table1[[#This Row],[Revenue]]*Table1[[#This Row],[Discount]]/100)</f>
        <v>422913.15</v>
      </c>
    </row>
    <row r="1395" spans="1:12" x14ac:dyDescent="0.55000000000000004">
      <c r="A1395" t="s">
        <v>1424</v>
      </c>
      <c r="B1395" s="2">
        <v>45080</v>
      </c>
      <c r="C1395" t="s">
        <v>15</v>
      </c>
      <c r="D1395" t="s">
        <v>46</v>
      </c>
      <c r="E1395" t="s">
        <v>17</v>
      </c>
      <c r="F1395" t="s">
        <v>34</v>
      </c>
      <c r="G1395">
        <v>45184</v>
      </c>
      <c r="H1395">
        <v>10</v>
      </c>
      <c r="I1395">
        <v>24</v>
      </c>
      <c r="J1395" t="s">
        <v>25</v>
      </c>
      <c r="K1395" s="4">
        <f>Table1[[#This Row],[Sales]]*Table1[[#This Row],[Quantity]]</f>
        <v>451840</v>
      </c>
      <c r="L1395" s="4">
        <f>Table1[[#This Row],[Revenue]]-(Table1[[#This Row],[Revenue]]*Table1[[#This Row],[Discount]]/100)</f>
        <v>343398.40000000002</v>
      </c>
    </row>
    <row r="1396" spans="1:12" x14ac:dyDescent="0.55000000000000004">
      <c r="A1396" t="s">
        <v>1425</v>
      </c>
      <c r="B1396" s="2">
        <v>45213</v>
      </c>
      <c r="C1396" t="s">
        <v>15</v>
      </c>
      <c r="D1396" t="s">
        <v>46</v>
      </c>
      <c r="E1396" t="s">
        <v>11</v>
      </c>
      <c r="F1396" t="s">
        <v>29</v>
      </c>
      <c r="G1396">
        <v>42202</v>
      </c>
      <c r="H1396">
        <v>4</v>
      </c>
      <c r="I1396">
        <v>3</v>
      </c>
      <c r="J1396" t="s">
        <v>22</v>
      </c>
      <c r="K1396" s="4">
        <f>Table1[[#This Row],[Sales]]*Table1[[#This Row],[Quantity]]</f>
        <v>168808</v>
      </c>
      <c r="L1396" s="4">
        <f>Table1[[#This Row],[Revenue]]-(Table1[[#This Row],[Revenue]]*Table1[[#This Row],[Discount]]/100)</f>
        <v>163743.76</v>
      </c>
    </row>
    <row r="1397" spans="1:12" x14ac:dyDescent="0.55000000000000004">
      <c r="A1397" t="s">
        <v>1426</v>
      </c>
      <c r="B1397" s="2">
        <v>44963</v>
      </c>
      <c r="C1397" t="s">
        <v>19</v>
      </c>
      <c r="D1397" t="s">
        <v>37</v>
      </c>
      <c r="E1397" t="s">
        <v>17</v>
      </c>
      <c r="F1397" t="s">
        <v>44</v>
      </c>
      <c r="G1397">
        <v>28113</v>
      </c>
      <c r="H1397">
        <v>9</v>
      </c>
      <c r="I1397">
        <v>16</v>
      </c>
      <c r="J1397" t="s">
        <v>13</v>
      </c>
      <c r="K1397" s="4">
        <f>Table1[[#This Row],[Sales]]*Table1[[#This Row],[Quantity]]</f>
        <v>253017</v>
      </c>
      <c r="L1397" s="4">
        <f>Table1[[#This Row],[Revenue]]-(Table1[[#This Row],[Revenue]]*Table1[[#This Row],[Discount]]/100)</f>
        <v>212534.28</v>
      </c>
    </row>
    <row r="1398" spans="1:12" x14ac:dyDescent="0.55000000000000004">
      <c r="A1398" t="s">
        <v>1427</v>
      </c>
      <c r="B1398" s="2">
        <v>45199</v>
      </c>
      <c r="C1398" t="s">
        <v>15</v>
      </c>
      <c r="D1398" t="s">
        <v>37</v>
      </c>
      <c r="E1398" t="s">
        <v>17</v>
      </c>
      <c r="F1398" t="s">
        <v>29</v>
      </c>
      <c r="G1398">
        <v>49282</v>
      </c>
      <c r="H1398">
        <v>1</v>
      </c>
      <c r="I1398">
        <v>0</v>
      </c>
      <c r="J1398" t="s">
        <v>25</v>
      </c>
      <c r="K1398" s="4">
        <f>Table1[[#This Row],[Sales]]*Table1[[#This Row],[Quantity]]</f>
        <v>49282</v>
      </c>
      <c r="L1398" s="4">
        <f>Table1[[#This Row],[Revenue]]-(Table1[[#This Row],[Revenue]]*Table1[[#This Row],[Discount]]/100)</f>
        <v>49282</v>
      </c>
    </row>
    <row r="1399" spans="1:12" x14ac:dyDescent="0.55000000000000004">
      <c r="A1399" t="s">
        <v>1428</v>
      </c>
      <c r="B1399" s="2">
        <v>45281</v>
      </c>
      <c r="C1399" t="s">
        <v>31</v>
      </c>
      <c r="D1399" t="s">
        <v>27</v>
      </c>
      <c r="E1399" t="s">
        <v>17</v>
      </c>
      <c r="F1399" t="s">
        <v>29</v>
      </c>
      <c r="G1399">
        <v>13124</v>
      </c>
      <c r="H1399">
        <v>3</v>
      </c>
      <c r="I1399">
        <v>14</v>
      </c>
      <c r="J1399" t="s">
        <v>25</v>
      </c>
      <c r="K1399" s="4">
        <f>Table1[[#This Row],[Sales]]*Table1[[#This Row],[Quantity]]</f>
        <v>39372</v>
      </c>
      <c r="L1399" s="4">
        <f>Table1[[#This Row],[Revenue]]-(Table1[[#This Row],[Revenue]]*Table1[[#This Row],[Discount]]/100)</f>
        <v>33859.919999999998</v>
      </c>
    </row>
    <row r="1400" spans="1:12" x14ac:dyDescent="0.55000000000000004">
      <c r="A1400" t="s">
        <v>1429</v>
      </c>
      <c r="B1400" s="2">
        <v>45140</v>
      </c>
      <c r="C1400" t="s">
        <v>15</v>
      </c>
      <c r="D1400" t="s">
        <v>46</v>
      </c>
      <c r="E1400" t="s">
        <v>17</v>
      </c>
      <c r="F1400" t="s">
        <v>12</v>
      </c>
      <c r="G1400">
        <v>36623</v>
      </c>
      <c r="H1400">
        <v>3</v>
      </c>
      <c r="I1400">
        <v>27</v>
      </c>
      <c r="J1400" t="s">
        <v>25</v>
      </c>
      <c r="K1400" s="4">
        <f>Table1[[#This Row],[Sales]]*Table1[[#This Row],[Quantity]]</f>
        <v>109869</v>
      </c>
      <c r="L1400" s="4">
        <f>Table1[[#This Row],[Revenue]]-(Table1[[#This Row],[Revenue]]*Table1[[#This Row],[Discount]]/100)</f>
        <v>80204.37</v>
      </c>
    </row>
    <row r="1401" spans="1:12" x14ac:dyDescent="0.55000000000000004">
      <c r="A1401" t="s">
        <v>1430</v>
      </c>
      <c r="B1401" s="2">
        <v>44950</v>
      </c>
      <c r="C1401" t="s">
        <v>15</v>
      </c>
      <c r="D1401" t="s">
        <v>27</v>
      </c>
      <c r="E1401" t="s">
        <v>11</v>
      </c>
      <c r="F1401" t="s">
        <v>34</v>
      </c>
      <c r="G1401">
        <v>13193</v>
      </c>
      <c r="H1401">
        <v>1</v>
      </c>
      <c r="I1401">
        <v>25</v>
      </c>
      <c r="J1401" t="s">
        <v>13</v>
      </c>
      <c r="K1401" s="4">
        <f>Table1[[#This Row],[Sales]]*Table1[[#This Row],[Quantity]]</f>
        <v>13193</v>
      </c>
      <c r="L1401" s="4">
        <f>Table1[[#This Row],[Revenue]]-(Table1[[#This Row],[Revenue]]*Table1[[#This Row],[Discount]]/100)</f>
        <v>9894.75</v>
      </c>
    </row>
    <row r="1402" spans="1:12" x14ac:dyDescent="0.55000000000000004">
      <c r="A1402" t="s">
        <v>1431</v>
      </c>
      <c r="B1402" s="2">
        <v>44945</v>
      </c>
      <c r="C1402" t="s">
        <v>15</v>
      </c>
      <c r="D1402" t="s">
        <v>27</v>
      </c>
      <c r="E1402" t="s">
        <v>11</v>
      </c>
      <c r="F1402" t="s">
        <v>34</v>
      </c>
      <c r="G1402">
        <v>33064</v>
      </c>
      <c r="H1402">
        <v>9</v>
      </c>
      <c r="I1402">
        <v>1</v>
      </c>
      <c r="J1402" t="s">
        <v>22</v>
      </c>
      <c r="K1402" s="4">
        <f>Table1[[#This Row],[Sales]]*Table1[[#This Row],[Quantity]]</f>
        <v>297576</v>
      </c>
      <c r="L1402" s="4">
        <f>Table1[[#This Row],[Revenue]]-(Table1[[#This Row],[Revenue]]*Table1[[#This Row],[Discount]]/100)</f>
        <v>294600.24</v>
      </c>
    </row>
    <row r="1403" spans="1:12" x14ac:dyDescent="0.55000000000000004">
      <c r="A1403" t="s">
        <v>1432</v>
      </c>
      <c r="B1403" s="2">
        <v>45156</v>
      </c>
      <c r="C1403" t="s">
        <v>15</v>
      </c>
      <c r="D1403" t="s">
        <v>37</v>
      </c>
      <c r="E1403" t="s">
        <v>11</v>
      </c>
      <c r="F1403" t="s">
        <v>34</v>
      </c>
      <c r="G1403">
        <v>20345</v>
      </c>
      <c r="H1403">
        <v>6</v>
      </c>
      <c r="I1403">
        <v>0</v>
      </c>
      <c r="J1403" t="s">
        <v>13</v>
      </c>
      <c r="K1403" s="4">
        <f>Table1[[#This Row],[Sales]]*Table1[[#This Row],[Quantity]]</f>
        <v>122070</v>
      </c>
      <c r="L1403" s="4">
        <f>Table1[[#This Row],[Revenue]]-(Table1[[#This Row],[Revenue]]*Table1[[#This Row],[Discount]]/100)</f>
        <v>122070</v>
      </c>
    </row>
    <row r="1404" spans="1:12" x14ac:dyDescent="0.55000000000000004">
      <c r="A1404" t="s">
        <v>1433</v>
      </c>
      <c r="B1404" s="2">
        <v>45279</v>
      </c>
      <c r="C1404" t="s">
        <v>19</v>
      </c>
      <c r="D1404" t="s">
        <v>46</v>
      </c>
      <c r="E1404" t="s">
        <v>17</v>
      </c>
      <c r="F1404" t="s">
        <v>48</v>
      </c>
      <c r="G1404">
        <v>37705</v>
      </c>
      <c r="H1404">
        <v>7</v>
      </c>
      <c r="I1404">
        <v>11</v>
      </c>
      <c r="J1404" t="s">
        <v>22</v>
      </c>
      <c r="K1404" s="4">
        <f>Table1[[#This Row],[Sales]]*Table1[[#This Row],[Quantity]]</f>
        <v>263935</v>
      </c>
      <c r="L1404" s="4">
        <f>Table1[[#This Row],[Revenue]]-(Table1[[#This Row],[Revenue]]*Table1[[#This Row],[Discount]]/100)</f>
        <v>234902.15</v>
      </c>
    </row>
    <row r="1405" spans="1:12" x14ac:dyDescent="0.55000000000000004">
      <c r="A1405" t="s">
        <v>1434</v>
      </c>
      <c r="B1405" s="2">
        <v>45005</v>
      </c>
      <c r="C1405" t="s">
        <v>19</v>
      </c>
      <c r="D1405" t="s">
        <v>16</v>
      </c>
      <c r="E1405" t="s">
        <v>11</v>
      </c>
      <c r="F1405" t="s">
        <v>34</v>
      </c>
      <c r="G1405">
        <v>4413</v>
      </c>
      <c r="H1405">
        <v>8</v>
      </c>
      <c r="I1405">
        <v>19</v>
      </c>
      <c r="J1405" t="s">
        <v>25</v>
      </c>
      <c r="K1405" s="4">
        <f>Table1[[#This Row],[Sales]]*Table1[[#This Row],[Quantity]]</f>
        <v>35304</v>
      </c>
      <c r="L1405" s="4">
        <f>Table1[[#This Row],[Revenue]]-(Table1[[#This Row],[Revenue]]*Table1[[#This Row],[Discount]]/100)</f>
        <v>28596.239999999998</v>
      </c>
    </row>
    <row r="1406" spans="1:12" x14ac:dyDescent="0.55000000000000004">
      <c r="A1406" t="s">
        <v>1435</v>
      </c>
      <c r="B1406" s="2">
        <v>45109</v>
      </c>
      <c r="C1406" t="s">
        <v>31</v>
      </c>
      <c r="D1406" t="s">
        <v>27</v>
      </c>
      <c r="E1406" t="s">
        <v>17</v>
      </c>
      <c r="F1406" t="s">
        <v>44</v>
      </c>
      <c r="G1406">
        <v>8294</v>
      </c>
      <c r="H1406">
        <v>1</v>
      </c>
      <c r="I1406">
        <v>14</v>
      </c>
      <c r="J1406" t="s">
        <v>13</v>
      </c>
      <c r="K1406" s="4">
        <f>Table1[[#This Row],[Sales]]*Table1[[#This Row],[Quantity]]</f>
        <v>8294</v>
      </c>
      <c r="L1406" s="4">
        <f>Table1[[#This Row],[Revenue]]-(Table1[[#This Row],[Revenue]]*Table1[[#This Row],[Discount]]/100)</f>
        <v>7132.84</v>
      </c>
    </row>
    <row r="1407" spans="1:12" x14ac:dyDescent="0.55000000000000004">
      <c r="A1407" t="s">
        <v>1436</v>
      </c>
      <c r="B1407" s="2">
        <v>45238</v>
      </c>
      <c r="C1407" t="s">
        <v>24</v>
      </c>
      <c r="D1407" t="s">
        <v>46</v>
      </c>
      <c r="E1407" t="s">
        <v>17</v>
      </c>
      <c r="F1407" t="s">
        <v>21</v>
      </c>
      <c r="G1407">
        <v>6234</v>
      </c>
      <c r="H1407">
        <v>7</v>
      </c>
      <c r="I1407">
        <v>25</v>
      </c>
      <c r="J1407" t="s">
        <v>22</v>
      </c>
      <c r="K1407" s="4">
        <f>Table1[[#This Row],[Sales]]*Table1[[#This Row],[Quantity]]</f>
        <v>43638</v>
      </c>
      <c r="L1407" s="4">
        <f>Table1[[#This Row],[Revenue]]-(Table1[[#This Row],[Revenue]]*Table1[[#This Row],[Discount]]/100)</f>
        <v>32728.5</v>
      </c>
    </row>
    <row r="1408" spans="1:12" x14ac:dyDescent="0.55000000000000004">
      <c r="A1408" t="s">
        <v>1437</v>
      </c>
      <c r="B1408" s="2">
        <v>44983</v>
      </c>
      <c r="C1408" t="s">
        <v>31</v>
      </c>
      <c r="D1408" t="s">
        <v>37</v>
      </c>
      <c r="E1408" t="s">
        <v>11</v>
      </c>
      <c r="F1408" t="s">
        <v>21</v>
      </c>
      <c r="G1408">
        <v>2851</v>
      </c>
      <c r="H1408">
        <v>9</v>
      </c>
      <c r="I1408">
        <v>10</v>
      </c>
      <c r="J1408" t="s">
        <v>25</v>
      </c>
      <c r="K1408" s="4">
        <f>Table1[[#This Row],[Sales]]*Table1[[#This Row],[Quantity]]</f>
        <v>25659</v>
      </c>
      <c r="L1408" s="4">
        <f>Table1[[#This Row],[Revenue]]-(Table1[[#This Row],[Revenue]]*Table1[[#This Row],[Discount]]/100)</f>
        <v>23093.1</v>
      </c>
    </row>
    <row r="1409" spans="1:12" x14ac:dyDescent="0.55000000000000004">
      <c r="A1409" t="s">
        <v>1438</v>
      </c>
      <c r="B1409" s="2">
        <v>45229</v>
      </c>
      <c r="C1409" t="s">
        <v>15</v>
      </c>
      <c r="D1409" t="s">
        <v>46</v>
      </c>
      <c r="E1409" t="s">
        <v>11</v>
      </c>
      <c r="F1409" t="s">
        <v>44</v>
      </c>
      <c r="G1409">
        <v>28944</v>
      </c>
      <c r="H1409">
        <v>4</v>
      </c>
      <c r="I1409">
        <v>9</v>
      </c>
      <c r="J1409" t="s">
        <v>13</v>
      </c>
      <c r="K1409" s="4">
        <f>Table1[[#This Row],[Sales]]*Table1[[#This Row],[Quantity]]</f>
        <v>115776</v>
      </c>
      <c r="L1409" s="4">
        <f>Table1[[#This Row],[Revenue]]-(Table1[[#This Row],[Revenue]]*Table1[[#This Row],[Discount]]/100)</f>
        <v>105356.16</v>
      </c>
    </row>
    <row r="1410" spans="1:12" x14ac:dyDescent="0.55000000000000004">
      <c r="A1410" t="s">
        <v>1439</v>
      </c>
      <c r="B1410" s="2">
        <v>45161</v>
      </c>
      <c r="C1410" t="s">
        <v>31</v>
      </c>
      <c r="D1410" t="s">
        <v>46</v>
      </c>
      <c r="E1410" t="s">
        <v>17</v>
      </c>
      <c r="F1410" t="s">
        <v>48</v>
      </c>
      <c r="G1410">
        <v>30162</v>
      </c>
      <c r="H1410">
        <v>3</v>
      </c>
      <c r="I1410">
        <v>28</v>
      </c>
      <c r="J1410" t="s">
        <v>13</v>
      </c>
      <c r="K1410" s="4">
        <f>Table1[[#This Row],[Sales]]*Table1[[#This Row],[Quantity]]</f>
        <v>90486</v>
      </c>
      <c r="L1410" s="4">
        <f>Table1[[#This Row],[Revenue]]-(Table1[[#This Row],[Revenue]]*Table1[[#This Row],[Discount]]/100)</f>
        <v>65149.919999999998</v>
      </c>
    </row>
    <row r="1411" spans="1:12" x14ac:dyDescent="0.55000000000000004">
      <c r="A1411" t="s">
        <v>1440</v>
      </c>
      <c r="B1411" s="2">
        <v>45138</v>
      </c>
      <c r="C1411" t="s">
        <v>15</v>
      </c>
      <c r="D1411" t="s">
        <v>27</v>
      </c>
      <c r="E1411" t="s">
        <v>17</v>
      </c>
      <c r="F1411" t="s">
        <v>44</v>
      </c>
      <c r="G1411">
        <v>4536</v>
      </c>
      <c r="H1411">
        <v>8</v>
      </c>
      <c r="I1411">
        <v>24</v>
      </c>
      <c r="J1411" t="s">
        <v>13</v>
      </c>
      <c r="K1411" s="4">
        <f>Table1[[#This Row],[Sales]]*Table1[[#This Row],[Quantity]]</f>
        <v>36288</v>
      </c>
      <c r="L1411" s="4">
        <f>Table1[[#This Row],[Revenue]]-(Table1[[#This Row],[Revenue]]*Table1[[#This Row],[Discount]]/100)</f>
        <v>27578.879999999997</v>
      </c>
    </row>
    <row r="1412" spans="1:12" x14ac:dyDescent="0.55000000000000004">
      <c r="A1412" t="s">
        <v>1441</v>
      </c>
      <c r="B1412" s="2">
        <v>45256</v>
      </c>
      <c r="C1412" t="s">
        <v>24</v>
      </c>
      <c r="D1412" t="s">
        <v>46</v>
      </c>
      <c r="E1412" t="s">
        <v>11</v>
      </c>
      <c r="F1412" t="s">
        <v>12</v>
      </c>
      <c r="G1412">
        <v>48687</v>
      </c>
      <c r="H1412">
        <v>3</v>
      </c>
      <c r="I1412">
        <v>28</v>
      </c>
      <c r="J1412" t="s">
        <v>13</v>
      </c>
      <c r="K1412" s="4">
        <f>Table1[[#This Row],[Sales]]*Table1[[#This Row],[Quantity]]</f>
        <v>146061</v>
      </c>
      <c r="L1412" s="4">
        <f>Table1[[#This Row],[Revenue]]-(Table1[[#This Row],[Revenue]]*Table1[[#This Row],[Discount]]/100)</f>
        <v>105163.92</v>
      </c>
    </row>
    <row r="1413" spans="1:12" x14ac:dyDescent="0.55000000000000004">
      <c r="A1413" t="s">
        <v>1442</v>
      </c>
      <c r="B1413" s="2">
        <v>44975</v>
      </c>
      <c r="C1413" t="s">
        <v>15</v>
      </c>
      <c r="D1413" t="s">
        <v>46</v>
      </c>
      <c r="E1413" t="s">
        <v>11</v>
      </c>
      <c r="F1413" t="s">
        <v>48</v>
      </c>
      <c r="G1413">
        <v>29077</v>
      </c>
      <c r="H1413">
        <v>6</v>
      </c>
      <c r="I1413">
        <v>4</v>
      </c>
      <c r="J1413" t="s">
        <v>22</v>
      </c>
      <c r="K1413" s="4">
        <f>Table1[[#This Row],[Sales]]*Table1[[#This Row],[Quantity]]</f>
        <v>174462</v>
      </c>
      <c r="L1413" s="4">
        <f>Table1[[#This Row],[Revenue]]-(Table1[[#This Row],[Revenue]]*Table1[[#This Row],[Discount]]/100)</f>
        <v>167483.51999999999</v>
      </c>
    </row>
    <row r="1414" spans="1:12" x14ac:dyDescent="0.55000000000000004">
      <c r="A1414" t="s">
        <v>1443</v>
      </c>
      <c r="B1414" s="2">
        <v>45159</v>
      </c>
      <c r="C1414" t="s">
        <v>19</v>
      </c>
      <c r="D1414" t="s">
        <v>20</v>
      </c>
      <c r="E1414" t="s">
        <v>17</v>
      </c>
      <c r="F1414" t="s">
        <v>44</v>
      </c>
      <c r="G1414">
        <v>47794</v>
      </c>
      <c r="H1414">
        <v>7</v>
      </c>
      <c r="I1414">
        <v>24</v>
      </c>
      <c r="J1414" t="s">
        <v>25</v>
      </c>
      <c r="K1414" s="4">
        <f>Table1[[#This Row],[Sales]]*Table1[[#This Row],[Quantity]]</f>
        <v>334558</v>
      </c>
      <c r="L1414" s="4">
        <f>Table1[[#This Row],[Revenue]]-(Table1[[#This Row],[Revenue]]*Table1[[#This Row],[Discount]]/100)</f>
        <v>254264.08000000002</v>
      </c>
    </row>
    <row r="1415" spans="1:12" x14ac:dyDescent="0.55000000000000004">
      <c r="A1415" t="s">
        <v>1444</v>
      </c>
      <c r="B1415" s="2">
        <v>45050</v>
      </c>
      <c r="C1415" t="s">
        <v>19</v>
      </c>
      <c r="D1415" t="s">
        <v>46</v>
      </c>
      <c r="E1415" t="s">
        <v>11</v>
      </c>
      <c r="F1415" t="s">
        <v>38</v>
      </c>
      <c r="G1415">
        <v>15621</v>
      </c>
      <c r="H1415">
        <v>2</v>
      </c>
      <c r="I1415">
        <v>21</v>
      </c>
      <c r="J1415" t="s">
        <v>22</v>
      </c>
      <c r="K1415" s="4">
        <f>Table1[[#This Row],[Sales]]*Table1[[#This Row],[Quantity]]</f>
        <v>31242</v>
      </c>
      <c r="L1415" s="4">
        <f>Table1[[#This Row],[Revenue]]-(Table1[[#This Row],[Revenue]]*Table1[[#This Row],[Discount]]/100)</f>
        <v>24681.18</v>
      </c>
    </row>
    <row r="1416" spans="1:12" x14ac:dyDescent="0.55000000000000004">
      <c r="A1416" t="s">
        <v>1445</v>
      </c>
      <c r="B1416" s="2">
        <v>45075</v>
      </c>
      <c r="C1416" t="s">
        <v>31</v>
      </c>
      <c r="D1416" t="s">
        <v>20</v>
      </c>
      <c r="E1416" t="s">
        <v>11</v>
      </c>
      <c r="F1416" t="s">
        <v>44</v>
      </c>
      <c r="G1416">
        <v>20748</v>
      </c>
      <c r="H1416">
        <v>2</v>
      </c>
      <c r="I1416">
        <v>3</v>
      </c>
      <c r="J1416" t="s">
        <v>13</v>
      </c>
      <c r="K1416" s="4">
        <f>Table1[[#This Row],[Sales]]*Table1[[#This Row],[Quantity]]</f>
        <v>41496</v>
      </c>
      <c r="L1416" s="4">
        <f>Table1[[#This Row],[Revenue]]-(Table1[[#This Row],[Revenue]]*Table1[[#This Row],[Discount]]/100)</f>
        <v>40251.120000000003</v>
      </c>
    </row>
    <row r="1417" spans="1:12" x14ac:dyDescent="0.55000000000000004">
      <c r="A1417" t="s">
        <v>1446</v>
      </c>
      <c r="B1417" s="2">
        <v>45014</v>
      </c>
      <c r="C1417" t="s">
        <v>15</v>
      </c>
      <c r="D1417" t="s">
        <v>27</v>
      </c>
      <c r="E1417" t="s">
        <v>17</v>
      </c>
      <c r="F1417" t="s">
        <v>29</v>
      </c>
      <c r="G1417">
        <v>26923</v>
      </c>
      <c r="H1417">
        <v>2</v>
      </c>
      <c r="I1417">
        <v>1</v>
      </c>
      <c r="J1417" t="s">
        <v>25</v>
      </c>
      <c r="K1417" s="4">
        <f>Table1[[#This Row],[Sales]]*Table1[[#This Row],[Quantity]]</f>
        <v>53846</v>
      </c>
      <c r="L1417" s="4">
        <f>Table1[[#This Row],[Revenue]]-(Table1[[#This Row],[Revenue]]*Table1[[#This Row],[Discount]]/100)</f>
        <v>53307.54</v>
      </c>
    </row>
    <row r="1418" spans="1:12" x14ac:dyDescent="0.55000000000000004">
      <c r="A1418" t="s">
        <v>1447</v>
      </c>
      <c r="B1418" s="2">
        <v>44946</v>
      </c>
      <c r="C1418" t="s">
        <v>24</v>
      </c>
      <c r="D1418" t="s">
        <v>27</v>
      </c>
      <c r="E1418" t="s">
        <v>17</v>
      </c>
      <c r="F1418" t="s">
        <v>48</v>
      </c>
      <c r="G1418">
        <v>7114</v>
      </c>
      <c r="H1418">
        <v>3</v>
      </c>
      <c r="I1418">
        <v>9</v>
      </c>
      <c r="J1418" t="s">
        <v>13</v>
      </c>
      <c r="K1418" s="4">
        <f>Table1[[#This Row],[Sales]]*Table1[[#This Row],[Quantity]]</f>
        <v>21342</v>
      </c>
      <c r="L1418" s="4">
        <f>Table1[[#This Row],[Revenue]]-(Table1[[#This Row],[Revenue]]*Table1[[#This Row],[Discount]]/100)</f>
        <v>19421.22</v>
      </c>
    </row>
    <row r="1419" spans="1:12" x14ac:dyDescent="0.55000000000000004">
      <c r="A1419" t="s">
        <v>1448</v>
      </c>
      <c r="B1419" s="2">
        <v>45175</v>
      </c>
      <c r="C1419" t="s">
        <v>24</v>
      </c>
      <c r="D1419" t="s">
        <v>46</v>
      </c>
      <c r="E1419" t="s">
        <v>17</v>
      </c>
      <c r="F1419" t="s">
        <v>12</v>
      </c>
      <c r="G1419">
        <v>27668</v>
      </c>
      <c r="H1419">
        <v>5</v>
      </c>
      <c r="I1419">
        <v>25</v>
      </c>
      <c r="J1419" t="s">
        <v>22</v>
      </c>
      <c r="K1419" s="4">
        <f>Table1[[#This Row],[Sales]]*Table1[[#This Row],[Quantity]]</f>
        <v>138340</v>
      </c>
      <c r="L1419" s="4">
        <f>Table1[[#This Row],[Revenue]]-(Table1[[#This Row],[Revenue]]*Table1[[#This Row],[Discount]]/100)</f>
        <v>103755</v>
      </c>
    </row>
    <row r="1420" spans="1:12" x14ac:dyDescent="0.55000000000000004">
      <c r="A1420" t="s">
        <v>1449</v>
      </c>
      <c r="B1420" s="2">
        <v>44941</v>
      </c>
      <c r="C1420" t="s">
        <v>24</v>
      </c>
      <c r="D1420" t="s">
        <v>27</v>
      </c>
      <c r="E1420" t="s">
        <v>17</v>
      </c>
      <c r="F1420" t="s">
        <v>21</v>
      </c>
      <c r="G1420">
        <v>4548</v>
      </c>
      <c r="H1420">
        <v>7</v>
      </c>
      <c r="I1420">
        <v>8</v>
      </c>
      <c r="J1420" t="s">
        <v>25</v>
      </c>
      <c r="K1420" s="4">
        <f>Table1[[#This Row],[Sales]]*Table1[[#This Row],[Quantity]]</f>
        <v>31836</v>
      </c>
      <c r="L1420" s="4">
        <f>Table1[[#This Row],[Revenue]]-(Table1[[#This Row],[Revenue]]*Table1[[#This Row],[Discount]]/100)</f>
        <v>29289.119999999999</v>
      </c>
    </row>
    <row r="1421" spans="1:12" x14ac:dyDescent="0.55000000000000004">
      <c r="A1421" t="s">
        <v>1450</v>
      </c>
      <c r="B1421" s="2">
        <v>45270</v>
      </c>
      <c r="C1421" t="s">
        <v>19</v>
      </c>
      <c r="D1421" t="s">
        <v>16</v>
      </c>
      <c r="E1421" t="s">
        <v>17</v>
      </c>
      <c r="F1421" t="s">
        <v>44</v>
      </c>
      <c r="G1421">
        <v>13249</v>
      </c>
      <c r="H1421">
        <v>10</v>
      </c>
      <c r="I1421">
        <v>19</v>
      </c>
      <c r="J1421" t="s">
        <v>13</v>
      </c>
      <c r="K1421" s="4">
        <f>Table1[[#This Row],[Sales]]*Table1[[#This Row],[Quantity]]</f>
        <v>132490</v>
      </c>
      <c r="L1421" s="4">
        <f>Table1[[#This Row],[Revenue]]-(Table1[[#This Row],[Revenue]]*Table1[[#This Row],[Discount]]/100)</f>
        <v>107316.9</v>
      </c>
    </row>
    <row r="1422" spans="1:12" x14ac:dyDescent="0.55000000000000004">
      <c r="A1422" t="s">
        <v>1451</v>
      </c>
      <c r="B1422" s="2">
        <v>45196</v>
      </c>
      <c r="C1422" t="s">
        <v>19</v>
      </c>
      <c r="D1422" t="s">
        <v>46</v>
      </c>
      <c r="E1422" t="s">
        <v>17</v>
      </c>
      <c r="F1422" t="s">
        <v>44</v>
      </c>
      <c r="G1422">
        <v>42864</v>
      </c>
      <c r="H1422">
        <v>8</v>
      </c>
      <c r="I1422">
        <v>19</v>
      </c>
      <c r="J1422" t="s">
        <v>25</v>
      </c>
      <c r="K1422" s="4">
        <f>Table1[[#This Row],[Sales]]*Table1[[#This Row],[Quantity]]</f>
        <v>342912</v>
      </c>
      <c r="L1422" s="4">
        <f>Table1[[#This Row],[Revenue]]-(Table1[[#This Row],[Revenue]]*Table1[[#This Row],[Discount]]/100)</f>
        <v>277758.71999999997</v>
      </c>
    </row>
    <row r="1423" spans="1:12" x14ac:dyDescent="0.55000000000000004">
      <c r="A1423" t="s">
        <v>1452</v>
      </c>
      <c r="B1423" s="2">
        <v>45218</v>
      </c>
      <c r="C1423" t="s">
        <v>31</v>
      </c>
      <c r="D1423" t="s">
        <v>20</v>
      </c>
      <c r="E1423" t="s">
        <v>17</v>
      </c>
      <c r="F1423" t="s">
        <v>48</v>
      </c>
      <c r="G1423">
        <v>47305</v>
      </c>
      <c r="H1423">
        <v>8</v>
      </c>
      <c r="I1423">
        <v>3</v>
      </c>
      <c r="J1423" t="s">
        <v>22</v>
      </c>
      <c r="K1423" s="4">
        <f>Table1[[#This Row],[Sales]]*Table1[[#This Row],[Quantity]]</f>
        <v>378440</v>
      </c>
      <c r="L1423" s="4">
        <f>Table1[[#This Row],[Revenue]]-(Table1[[#This Row],[Revenue]]*Table1[[#This Row],[Discount]]/100)</f>
        <v>367086.8</v>
      </c>
    </row>
    <row r="1424" spans="1:12" x14ac:dyDescent="0.55000000000000004">
      <c r="A1424" t="s">
        <v>1453</v>
      </c>
      <c r="B1424" s="2">
        <v>45143</v>
      </c>
      <c r="C1424" t="s">
        <v>15</v>
      </c>
      <c r="D1424" t="s">
        <v>16</v>
      </c>
      <c r="E1424" t="s">
        <v>17</v>
      </c>
      <c r="F1424" t="s">
        <v>44</v>
      </c>
      <c r="G1424">
        <v>25088</v>
      </c>
      <c r="H1424">
        <v>3</v>
      </c>
      <c r="I1424">
        <v>4</v>
      </c>
      <c r="J1424" t="s">
        <v>25</v>
      </c>
      <c r="K1424" s="4">
        <f>Table1[[#This Row],[Sales]]*Table1[[#This Row],[Quantity]]</f>
        <v>75264</v>
      </c>
      <c r="L1424" s="4">
        <f>Table1[[#This Row],[Revenue]]-(Table1[[#This Row],[Revenue]]*Table1[[#This Row],[Discount]]/100)</f>
        <v>72253.440000000002</v>
      </c>
    </row>
    <row r="1425" spans="1:12" x14ac:dyDescent="0.55000000000000004">
      <c r="A1425" t="s">
        <v>1454</v>
      </c>
      <c r="B1425" s="2">
        <v>45107</v>
      </c>
      <c r="C1425" t="s">
        <v>19</v>
      </c>
      <c r="D1425" t="s">
        <v>46</v>
      </c>
      <c r="E1425" t="s">
        <v>11</v>
      </c>
      <c r="F1425" t="s">
        <v>21</v>
      </c>
      <c r="G1425">
        <v>4722</v>
      </c>
      <c r="H1425">
        <v>5</v>
      </c>
      <c r="I1425">
        <v>13</v>
      </c>
      <c r="J1425" t="s">
        <v>22</v>
      </c>
      <c r="K1425" s="4">
        <f>Table1[[#This Row],[Sales]]*Table1[[#This Row],[Quantity]]</f>
        <v>23610</v>
      </c>
      <c r="L1425" s="4">
        <f>Table1[[#This Row],[Revenue]]-(Table1[[#This Row],[Revenue]]*Table1[[#This Row],[Discount]]/100)</f>
        <v>20540.7</v>
      </c>
    </row>
    <row r="1426" spans="1:12" x14ac:dyDescent="0.55000000000000004">
      <c r="A1426" t="s">
        <v>1455</v>
      </c>
      <c r="B1426" s="2">
        <v>45119</v>
      </c>
      <c r="C1426" t="s">
        <v>19</v>
      </c>
      <c r="D1426" t="s">
        <v>16</v>
      </c>
      <c r="E1426" t="s">
        <v>11</v>
      </c>
      <c r="F1426" t="s">
        <v>38</v>
      </c>
      <c r="G1426">
        <v>47828</v>
      </c>
      <c r="H1426">
        <v>6</v>
      </c>
      <c r="I1426">
        <v>25</v>
      </c>
      <c r="J1426" t="s">
        <v>22</v>
      </c>
      <c r="K1426" s="4">
        <f>Table1[[#This Row],[Sales]]*Table1[[#This Row],[Quantity]]</f>
        <v>286968</v>
      </c>
      <c r="L1426" s="4">
        <f>Table1[[#This Row],[Revenue]]-(Table1[[#This Row],[Revenue]]*Table1[[#This Row],[Discount]]/100)</f>
        <v>215226</v>
      </c>
    </row>
    <row r="1427" spans="1:12" x14ac:dyDescent="0.55000000000000004">
      <c r="A1427" t="s">
        <v>1456</v>
      </c>
      <c r="B1427" s="2">
        <v>45253</v>
      </c>
      <c r="C1427" t="s">
        <v>31</v>
      </c>
      <c r="D1427" t="s">
        <v>37</v>
      </c>
      <c r="E1427" t="s">
        <v>17</v>
      </c>
      <c r="F1427" t="s">
        <v>12</v>
      </c>
      <c r="G1427">
        <v>41606</v>
      </c>
      <c r="H1427">
        <v>8</v>
      </c>
      <c r="I1427">
        <v>23</v>
      </c>
      <c r="J1427" t="s">
        <v>22</v>
      </c>
      <c r="K1427" s="4">
        <f>Table1[[#This Row],[Sales]]*Table1[[#This Row],[Quantity]]</f>
        <v>332848</v>
      </c>
      <c r="L1427" s="4">
        <f>Table1[[#This Row],[Revenue]]-(Table1[[#This Row],[Revenue]]*Table1[[#This Row],[Discount]]/100)</f>
        <v>256292.96000000002</v>
      </c>
    </row>
    <row r="1428" spans="1:12" x14ac:dyDescent="0.55000000000000004">
      <c r="A1428" t="s">
        <v>1457</v>
      </c>
      <c r="B1428" s="2">
        <v>45089</v>
      </c>
      <c r="C1428" t="s">
        <v>24</v>
      </c>
      <c r="D1428" t="s">
        <v>16</v>
      </c>
      <c r="E1428" t="s">
        <v>17</v>
      </c>
      <c r="F1428" t="s">
        <v>48</v>
      </c>
      <c r="G1428">
        <v>41084</v>
      </c>
      <c r="H1428">
        <v>8</v>
      </c>
      <c r="I1428">
        <v>27</v>
      </c>
      <c r="J1428" t="s">
        <v>13</v>
      </c>
      <c r="K1428" s="4">
        <f>Table1[[#This Row],[Sales]]*Table1[[#This Row],[Quantity]]</f>
        <v>328672</v>
      </c>
      <c r="L1428" s="4">
        <f>Table1[[#This Row],[Revenue]]-(Table1[[#This Row],[Revenue]]*Table1[[#This Row],[Discount]]/100)</f>
        <v>239930.56</v>
      </c>
    </row>
    <row r="1429" spans="1:12" x14ac:dyDescent="0.55000000000000004">
      <c r="A1429" t="s">
        <v>1458</v>
      </c>
      <c r="B1429" s="2">
        <v>44959</v>
      </c>
      <c r="C1429" t="s">
        <v>31</v>
      </c>
      <c r="D1429" t="s">
        <v>27</v>
      </c>
      <c r="E1429" t="s">
        <v>11</v>
      </c>
      <c r="F1429" t="s">
        <v>44</v>
      </c>
      <c r="G1429">
        <v>41229</v>
      </c>
      <c r="H1429">
        <v>8</v>
      </c>
      <c r="I1429">
        <v>16</v>
      </c>
      <c r="J1429" t="s">
        <v>22</v>
      </c>
      <c r="K1429" s="4">
        <f>Table1[[#This Row],[Sales]]*Table1[[#This Row],[Quantity]]</f>
        <v>329832</v>
      </c>
      <c r="L1429" s="4">
        <f>Table1[[#This Row],[Revenue]]-(Table1[[#This Row],[Revenue]]*Table1[[#This Row],[Discount]]/100)</f>
        <v>277058.88</v>
      </c>
    </row>
    <row r="1430" spans="1:12" x14ac:dyDescent="0.55000000000000004">
      <c r="A1430" t="s">
        <v>1459</v>
      </c>
      <c r="B1430" s="2">
        <v>44939</v>
      </c>
      <c r="C1430" t="s">
        <v>31</v>
      </c>
      <c r="D1430" t="s">
        <v>46</v>
      </c>
      <c r="E1430" t="s">
        <v>17</v>
      </c>
      <c r="F1430" t="s">
        <v>21</v>
      </c>
      <c r="G1430">
        <v>15147</v>
      </c>
      <c r="H1430">
        <v>2</v>
      </c>
      <c r="I1430">
        <v>24</v>
      </c>
      <c r="J1430" t="s">
        <v>22</v>
      </c>
      <c r="K1430" s="4">
        <f>Table1[[#This Row],[Sales]]*Table1[[#This Row],[Quantity]]</f>
        <v>30294</v>
      </c>
      <c r="L1430" s="4">
        <f>Table1[[#This Row],[Revenue]]-(Table1[[#This Row],[Revenue]]*Table1[[#This Row],[Discount]]/100)</f>
        <v>23023.439999999999</v>
      </c>
    </row>
    <row r="1431" spans="1:12" x14ac:dyDescent="0.55000000000000004">
      <c r="A1431" t="s">
        <v>1460</v>
      </c>
      <c r="B1431" s="2">
        <v>45064</v>
      </c>
      <c r="C1431" t="s">
        <v>24</v>
      </c>
      <c r="D1431" t="s">
        <v>27</v>
      </c>
      <c r="E1431" t="s">
        <v>17</v>
      </c>
      <c r="F1431" t="s">
        <v>48</v>
      </c>
      <c r="G1431">
        <v>29142</v>
      </c>
      <c r="H1431">
        <v>6</v>
      </c>
      <c r="I1431">
        <v>27</v>
      </c>
      <c r="J1431" t="s">
        <v>13</v>
      </c>
      <c r="K1431" s="4">
        <f>Table1[[#This Row],[Sales]]*Table1[[#This Row],[Quantity]]</f>
        <v>174852</v>
      </c>
      <c r="L1431" s="4">
        <f>Table1[[#This Row],[Revenue]]-(Table1[[#This Row],[Revenue]]*Table1[[#This Row],[Discount]]/100)</f>
        <v>127641.95999999999</v>
      </c>
    </row>
    <row r="1432" spans="1:12" x14ac:dyDescent="0.55000000000000004">
      <c r="A1432" t="s">
        <v>1461</v>
      </c>
      <c r="B1432" s="2">
        <v>45169</v>
      </c>
      <c r="C1432" t="s">
        <v>19</v>
      </c>
      <c r="D1432" t="s">
        <v>16</v>
      </c>
      <c r="E1432" t="s">
        <v>17</v>
      </c>
      <c r="F1432" t="s">
        <v>29</v>
      </c>
      <c r="G1432">
        <v>38047</v>
      </c>
      <c r="H1432">
        <v>6</v>
      </c>
      <c r="I1432">
        <v>8</v>
      </c>
      <c r="J1432" t="s">
        <v>22</v>
      </c>
      <c r="K1432" s="4">
        <f>Table1[[#This Row],[Sales]]*Table1[[#This Row],[Quantity]]</f>
        <v>228282</v>
      </c>
      <c r="L1432" s="4">
        <f>Table1[[#This Row],[Revenue]]-(Table1[[#This Row],[Revenue]]*Table1[[#This Row],[Discount]]/100)</f>
        <v>210019.44</v>
      </c>
    </row>
    <row r="1433" spans="1:12" x14ac:dyDescent="0.55000000000000004">
      <c r="A1433" t="s">
        <v>1462</v>
      </c>
      <c r="B1433" s="2">
        <v>45141</v>
      </c>
      <c r="C1433" t="s">
        <v>19</v>
      </c>
      <c r="D1433" t="s">
        <v>46</v>
      </c>
      <c r="E1433" t="s">
        <v>17</v>
      </c>
      <c r="F1433" t="s">
        <v>21</v>
      </c>
      <c r="G1433">
        <v>49981</v>
      </c>
      <c r="H1433">
        <v>9</v>
      </c>
      <c r="I1433">
        <v>20</v>
      </c>
      <c r="J1433" t="s">
        <v>25</v>
      </c>
      <c r="K1433" s="4">
        <f>Table1[[#This Row],[Sales]]*Table1[[#This Row],[Quantity]]</f>
        <v>449829</v>
      </c>
      <c r="L1433" s="4">
        <f>Table1[[#This Row],[Revenue]]-(Table1[[#This Row],[Revenue]]*Table1[[#This Row],[Discount]]/100)</f>
        <v>359863.2</v>
      </c>
    </row>
    <row r="1434" spans="1:12" x14ac:dyDescent="0.55000000000000004">
      <c r="A1434" t="s">
        <v>1463</v>
      </c>
      <c r="B1434" s="2">
        <v>44949</v>
      </c>
      <c r="C1434" t="s">
        <v>19</v>
      </c>
      <c r="D1434" t="s">
        <v>46</v>
      </c>
      <c r="E1434" t="s">
        <v>17</v>
      </c>
      <c r="F1434" t="s">
        <v>44</v>
      </c>
      <c r="G1434">
        <v>43123</v>
      </c>
      <c r="H1434">
        <v>5</v>
      </c>
      <c r="I1434">
        <v>1</v>
      </c>
      <c r="J1434" t="s">
        <v>22</v>
      </c>
      <c r="K1434" s="4">
        <f>Table1[[#This Row],[Sales]]*Table1[[#This Row],[Quantity]]</f>
        <v>215615</v>
      </c>
      <c r="L1434" s="4">
        <f>Table1[[#This Row],[Revenue]]-(Table1[[#This Row],[Revenue]]*Table1[[#This Row],[Discount]]/100)</f>
        <v>213458.85</v>
      </c>
    </row>
    <row r="1435" spans="1:12" x14ac:dyDescent="0.55000000000000004">
      <c r="A1435" t="s">
        <v>1464</v>
      </c>
      <c r="B1435" s="2">
        <v>45174</v>
      </c>
      <c r="C1435" t="s">
        <v>31</v>
      </c>
      <c r="D1435" t="s">
        <v>37</v>
      </c>
      <c r="E1435" t="s">
        <v>11</v>
      </c>
      <c r="F1435" t="s">
        <v>34</v>
      </c>
      <c r="G1435">
        <v>49509</v>
      </c>
      <c r="H1435">
        <v>2</v>
      </c>
      <c r="I1435">
        <v>16</v>
      </c>
      <c r="J1435" t="s">
        <v>22</v>
      </c>
      <c r="K1435" s="4">
        <f>Table1[[#This Row],[Sales]]*Table1[[#This Row],[Quantity]]</f>
        <v>99018</v>
      </c>
      <c r="L1435" s="4">
        <f>Table1[[#This Row],[Revenue]]-(Table1[[#This Row],[Revenue]]*Table1[[#This Row],[Discount]]/100)</f>
        <v>83175.12</v>
      </c>
    </row>
    <row r="1436" spans="1:12" x14ac:dyDescent="0.55000000000000004">
      <c r="A1436" t="s">
        <v>1465</v>
      </c>
      <c r="B1436" s="2">
        <v>45178</v>
      </c>
      <c r="C1436" t="s">
        <v>31</v>
      </c>
      <c r="D1436" t="s">
        <v>20</v>
      </c>
      <c r="E1436" t="s">
        <v>11</v>
      </c>
      <c r="F1436" t="s">
        <v>38</v>
      </c>
      <c r="G1436">
        <v>16868</v>
      </c>
      <c r="H1436">
        <v>6</v>
      </c>
      <c r="I1436">
        <v>5</v>
      </c>
      <c r="J1436" t="s">
        <v>22</v>
      </c>
      <c r="K1436" s="4">
        <f>Table1[[#This Row],[Sales]]*Table1[[#This Row],[Quantity]]</f>
        <v>101208</v>
      </c>
      <c r="L1436" s="4">
        <f>Table1[[#This Row],[Revenue]]-(Table1[[#This Row],[Revenue]]*Table1[[#This Row],[Discount]]/100)</f>
        <v>96147.6</v>
      </c>
    </row>
    <row r="1437" spans="1:12" x14ac:dyDescent="0.55000000000000004">
      <c r="A1437" t="s">
        <v>1466</v>
      </c>
      <c r="B1437" s="2">
        <v>45275</v>
      </c>
      <c r="C1437" t="s">
        <v>15</v>
      </c>
      <c r="D1437" t="s">
        <v>46</v>
      </c>
      <c r="E1437" t="s">
        <v>11</v>
      </c>
      <c r="F1437" t="s">
        <v>44</v>
      </c>
      <c r="G1437">
        <v>10295</v>
      </c>
      <c r="H1437">
        <v>7</v>
      </c>
      <c r="I1437">
        <v>19</v>
      </c>
      <c r="J1437" t="s">
        <v>25</v>
      </c>
      <c r="K1437" s="4">
        <f>Table1[[#This Row],[Sales]]*Table1[[#This Row],[Quantity]]</f>
        <v>72065</v>
      </c>
      <c r="L1437" s="4">
        <f>Table1[[#This Row],[Revenue]]-(Table1[[#This Row],[Revenue]]*Table1[[#This Row],[Discount]]/100)</f>
        <v>58372.65</v>
      </c>
    </row>
    <row r="1438" spans="1:12" x14ac:dyDescent="0.55000000000000004">
      <c r="A1438" t="s">
        <v>1467</v>
      </c>
      <c r="B1438" s="2">
        <v>45132</v>
      </c>
      <c r="C1438" t="s">
        <v>19</v>
      </c>
      <c r="D1438" t="s">
        <v>20</v>
      </c>
      <c r="E1438" t="s">
        <v>11</v>
      </c>
      <c r="F1438" t="s">
        <v>44</v>
      </c>
      <c r="G1438">
        <v>14416</v>
      </c>
      <c r="H1438">
        <v>5</v>
      </c>
      <c r="I1438">
        <v>23</v>
      </c>
      <c r="J1438" t="s">
        <v>22</v>
      </c>
      <c r="K1438" s="4">
        <f>Table1[[#This Row],[Sales]]*Table1[[#This Row],[Quantity]]</f>
        <v>72080</v>
      </c>
      <c r="L1438" s="4">
        <f>Table1[[#This Row],[Revenue]]-(Table1[[#This Row],[Revenue]]*Table1[[#This Row],[Discount]]/100)</f>
        <v>55501.599999999999</v>
      </c>
    </row>
    <row r="1439" spans="1:12" x14ac:dyDescent="0.55000000000000004">
      <c r="A1439" t="s">
        <v>1468</v>
      </c>
      <c r="B1439" s="2">
        <v>45053</v>
      </c>
      <c r="C1439" t="s">
        <v>24</v>
      </c>
      <c r="D1439" t="s">
        <v>37</v>
      </c>
      <c r="E1439" t="s">
        <v>17</v>
      </c>
      <c r="F1439" t="s">
        <v>21</v>
      </c>
      <c r="G1439">
        <v>34607</v>
      </c>
      <c r="H1439">
        <v>3</v>
      </c>
      <c r="I1439">
        <v>15</v>
      </c>
      <c r="J1439" t="s">
        <v>13</v>
      </c>
      <c r="K1439" s="4">
        <f>Table1[[#This Row],[Sales]]*Table1[[#This Row],[Quantity]]</f>
        <v>103821</v>
      </c>
      <c r="L1439" s="4">
        <f>Table1[[#This Row],[Revenue]]-(Table1[[#This Row],[Revenue]]*Table1[[#This Row],[Discount]]/100)</f>
        <v>88247.85</v>
      </c>
    </row>
    <row r="1440" spans="1:12" x14ac:dyDescent="0.55000000000000004">
      <c r="A1440" t="s">
        <v>1469</v>
      </c>
      <c r="B1440" s="2">
        <v>45243</v>
      </c>
      <c r="C1440" t="s">
        <v>19</v>
      </c>
      <c r="D1440" t="s">
        <v>20</v>
      </c>
      <c r="E1440" t="s">
        <v>11</v>
      </c>
      <c r="F1440" t="s">
        <v>29</v>
      </c>
      <c r="G1440">
        <v>24403</v>
      </c>
      <c r="H1440">
        <v>8</v>
      </c>
      <c r="I1440">
        <v>2</v>
      </c>
      <c r="J1440" t="s">
        <v>25</v>
      </c>
      <c r="K1440" s="4">
        <f>Table1[[#This Row],[Sales]]*Table1[[#This Row],[Quantity]]</f>
        <v>195224</v>
      </c>
      <c r="L1440" s="4">
        <f>Table1[[#This Row],[Revenue]]-(Table1[[#This Row],[Revenue]]*Table1[[#This Row],[Discount]]/100)</f>
        <v>191319.52</v>
      </c>
    </row>
    <row r="1441" spans="1:12" x14ac:dyDescent="0.55000000000000004">
      <c r="A1441" t="s">
        <v>1470</v>
      </c>
      <c r="B1441" s="2">
        <v>45182</v>
      </c>
      <c r="C1441" t="s">
        <v>24</v>
      </c>
      <c r="D1441" t="s">
        <v>37</v>
      </c>
      <c r="E1441" t="s">
        <v>11</v>
      </c>
      <c r="F1441" t="s">
        <v>29</v>
      </c>
      <c r="G1441">
        <v>16789</v>
      </c>
      <c r="H1441">
        <v>6</v>
      </c>
      <c r="I1441">
        <v>23</v>
      </c>
      <c r="J1441" t="s">
        <v>25</v>
      </c>
      <c r="K1441" s="4">
        <f>Table1[[#This Row],[Sales]]*Table1[[#This Row],[Quantity]]</f>
        <v>100734</v>
      </c>
      <c r="L1441" s="4">
        <f>Table1[[#This Row],[Revenue]]-(Table1[[#This Row],[Revenue]]*Table1[[#This Row],[Discount]]/100)</f>
        <v>77565.179999999993</v>
      </c>
    </row>
    <row r="1442" spans="1:12" x14ac:dyDescent="0.55000000000000004">
      <c r="A1442" t="s">
        <v>1471</v>
      </c>
      <c r="B1442" s="2">
        <v>45178</v>
      </c>
      <c r="C1442" t="s">
        <v>15</v>
      </c>
      <c r="D1442" t="s">
        <v>37</v>
      </c>
      <c r="E1442" t="s">
        <v>17</v>
      </c>
      <c r="F1442" t="s">
        <v>38</v>
      </c>
      <c r="G1442">
        <v>8903</v>
      </c>
      <c r="H1442">
        <v>1</v>
      </c>
      <c r="I1442">
        <v>3</v>
      </c>
      <c r="J1442" t="s">
        <v>13</v>
      </c>
      <c r="K1442" s="4">
        <f>Table1[[#This Row],[Sales]]*Table1[[#This Row],[Quantity]]</f>
        <v>8903</v>
      </c>
      <c r="L1442" s="4">
        <f>Table1[[#This Row],[Revenue]]-(Table1[[#This Row],[Revenue]]*Table1[[#This Row],[Discount]]/100)</f>
        <v>8635.91</v>
      </c>
    </row>
    <row r="1443" spans="1:12" x14ac:dyDescent="0.55000000000000004">
      <c r="A1443" t="s">
        <v>1472</v>
      </c>
      <c r="B1443" s="2">
        <v>45180</v>
      </c>
      <c r="C1443" t="s">
        <v>24</v>
      </c>
      <c r="D1443" t="s">
        <v>46</v>
      </c>
      <c r="E1443" t="s">
        <v>11</v>
      </c>
      <c r="F1443" t="s">
        <v>38</v>
      </c>
      <c r="G1443">
        <v>5574</v>
      </c>
      <c r="H1443">
        <v>1</v>
      </c>
      <c r="I1443">
        <v>24</v>
      </c>
      <c r="J1443" t="s">
        <v>25</v>
      </c>
      <c r="K1443" s="4">
        <f>Table1[[#This Row],[Sales]]*Table1[[#This Row],[Quantity]]</f>
        <v>5574</v>
      </c>
      <c r="L1443" s="4">
        <f>Table1[[#This Row],[Revenue]]-(Table1[[#This Row],[Revenue]]*Table1[[#This Row],[Discount]]/100)</f>
        <v>4236.24</v>
      </c>
    </row>
    <row r="1444" spans="1:12" x14ac:dyDescent="0.55000000000000004">
      <c r="A1444" t="s">
        <v>1473</v>
      </c>
      <c r="B1444" s="2">
        <v>45114</v>
      </c>
      <c r="C1444" t="s">
        <v>19</v>
      </c>
      <c r="D1444" t="s">
        <v>20</v>
      </c>
      <c r="E1444" t="s">
        <v>11</v>
      </c>
      <c r="F1444" t="s">
        <v>38</v>
      </c>
      <c r="G1444">
        <v>20329</v>
      </c>
      <c r="H1444">
        <v>9</v>
      </c>
      <c r="I1444">
        <v>17</v>
      </c>
      <c r="J1444" t="s">
        <v>22</v>
      </c>
      <c r="K1444" s="4">
        <f>Table1[[#This Row],[Sales]]*Table1[[#This Row],[Quantity]]</f>
        <v>182961</v>
      </c>
      <c r="L1444" s="4">
        <f>Table1[[#This Row],[Revenue]]-(Table1[[#This Row],[Revenue]]*Table1[[#This Row],[Discount]]/100)</f>
        <v>151857.63</v>
      </c>
    </row>
    <row r="1445" spans="1:12" x14ac:dyDescent="0.55000000000000004">
      <c r="A1445" t="s">
        <v>1474</v>
      </c>
      <c r="B1445" s="2">
        <v>45187</v>
      </c>
      <c r="C1445" t="s">
        <v>15</v>
      </c>
      <c r="D1445" t="s">
        <v>20</v>
      </c>
      <c r="E1445" t="s">
        <v>17</v>
      </c>
      <c r="F1445" t="s">
        <v>38</v>
      </c>
      <c r="G1445">
        <v>8513</v>
      </c>
      <c r="H1445">
        <v>2</v>
      </c>
      <c r="I1445">
        <v>17</v>
      </c>
      <c r="J1445" t="s">
        <v>22</v>
      </c>
      <c r="K1445" s="4">
        <f>Table1[[#This Row],[Sales]]*Table1[[#This Row],[Quantity]]</f>
        <v>17026</v>
      </c>
      <c r="L1445" s="4">
        <f>Table1[[#This Row],[Revenue]]-(Table1[[#This Row],[Revenue]]*Table1[[#This Row],[Discount]]/100)</f>
        <v>14131.58</v>
      </c>
    </row>
    <row r="1446" spans="1:12" x14ac:dyDescent="0.55000000000000004">
      <c r="A1446" t="s">
        <v>1475</v>
      </c>
      <c r="B1446" s="2">
        <v>45136</v>
      </c>
      <c r="C1446" t="s">
        <v>19</v>
      </c>
      <c r="D1446" t="s">
        <v>16</v>
      </c>
      <c r="E1446" t="s">
        <v>11</v>
      </c>
      <c r="F1446" t="s">
        <v>44</v>
      </c>
      <c r="G1446">
        <v>4597</v>
      </c>
      <c r="H1446">
        <v>7</v>
      </c>
      <c r="I1446">
        <v>24</v>
      </c>
      <c r="J1446" t="s">
        <v>13</v>
      </c>
      <c r="K1446" s="4">
        <f>Table1[[#This Row],[Sales]]*Table1[[#This Row],[Quantity]]</f>
        <v>32179</v>
      </c>
      <c r="L1446" s="4">
        <f>Table1[[#This Row],[Revenue]]-(Table1[[#This Row],[Revenue]]*Table1[[#This Row],[Discount]]/100)</f>
        <v>24456.04</v>
      </c>
    </row>
    <row r="1447" spans="1:12" x14ac:dyDescent="0.55000000000000004">
      <c r="A1447" t="s">
        <v>1476</v>
      </c>
      <c r="B1447" s="2">
        <v>45052</v>
      </c>
      <c r="C1447" t="s">
        <v>15</v>
      </c>
      <c r="D1447" t="s">
        <v>16</v>
      </c>
      <c r="E1447" t="s">
        <v>17</v>
      </c>
      <c r="F1447" t="s">
        <v>12</v>
      </c>
      <c r="G1447">
        <v>43514</v>
      </c>
      <c r="H1447">
        <v>9</v>
      </c>
      <c r="I1447">
        <v>4</v>
      </c>
      <c r="J1447" t="s">
        <v>22</v>
      </c>
      <c r="K1447" s="4">
        <f>Table1[[#This Row],[Sales]]*Table1[[#This Row],[Quantity]]</f>
        <v>391626</v>
      </c>
      <c r="L1447" s="4">
        <f>Table1[[#This Row],[Revenue]]-(Table1[[#This Row],[Revenue]]*Table1[[#This Row],[Discount]]/100)</f>
        <v>375960.96</v>
      </c>
    </row>
    <row r="1448" spans="1:12" x14ac:dyDescent="0.55000000000000004">
      <c r="A1448" t="s">
        <v>1477</v>
      </c>
      <c r="B1448" s="2">
        <v>45022</v>
      </c>
      <c r="C1448" t="s">
        <v>19</v>
      </c>
      <c r="D1448" t="s">
        <v>16</v>
      </c>
      <c r="E1448" t="s">
        <v>17</v>
      </c>
      <c r="F1448" t="s">
        <v>48</v>
      </c>
      <c r="G1448">
        <v>41801</v>
      </c>
      <c r="H1448">
        <v>1</v>
      </c>
      <c r="I1448">
        <v>3</v>
      </c>
      <c r="J1448" t="s">
        <v>25</v>
      </c>
      <c r="K1448" s="4">
        <f>Table1[[#This Row],[Sales]]*Table1[[#This Row],[Quantity]]</f>
        <v>41801</v>
      </c>
      <c r="L1448" s="4">
        <f>Table1[[#This Row],[Revenue]]-(Table1[[#This Row],[Revenue]]*Table1[[#This Row],[Discount]]/100)</f>
        <v>40546.97</v>
      </c>
    </row>
    <row r="1449" spans="1:12" x14ac:dyDescent="0.55000000000000004">
      <c r="A1449" t="s">
        <v>1478</v>
      </c>
      <c r="B1449" s="2">
        <v>44952</v>
      </c>
      <c r="C1449" t="s">
        <v>15</v>
      </c>
      <c r="D1449" t="s">
        <v>27</v>
      </c>
      <c r="E1449" t="s">
        <v>11</v>
      </c>
      <c r="F1449" t="s">
        <v>21</v>
      </c>
      <c r="G1449">
        <v>22018</v>
      </c>
      <c r="H1449">
        <v>6</v>
      </c>
      <c r="I1449">
        <v>14</v>
      </c>
      <c r="J1449" t="s">
        <v>22</v>
      </c>
      <c r="K1449" s="4">
        <f>Table1[[#This Row],[Sales]]*Table1[[#This Row],[Quantity]]</f>
        <v>132108</v>
      </c>
      <c r="L1449" s="4">
        <f>Table1[[#This Row],[Revenue]]-(Table1[[#This Row],[Revenue]]*Table1[[#This Row],[Discount]]/100)</f>
        <v>113612.88</v>
      </c>
    </row>
    <row r="1450" spans="1:12" x14ac:dyDescent="0.55000000000000004">
      <c r="A1450" t="s">
        <v>1479</v>
      </c>
      <c r="B1450" s="2">
        <v>45254</v>
      </c>
      <c r="C1450" t="s">
        <v>15</v>
      </c>
      <c r="D1450" t="s">
        <v>27</v>
      </c>
      <c r="E1450" t="s">
        <v>17</v>
      </c>
      <c r="F1450" t="s">
        <v>12</v>
      </c>
      <c r="G1450">
        <v>15901</v>
      </c>
      <c r="H1450">
        <v>5</v>
      </c>
      <c r="I1450">
        <v>20</v>
      </c>
      <c r="J1450" t="s">
        <v>25</v>
      </c>
      <c r="K1450" s="4">
        <f>Table1[[#This Row],[Sales]]*Table1[[#This Row],[Quantity]]</f>
        <v>79505</v>
      </c>
      <c r="L1450" s="4">
        <f>Table1[[#This Row],[Revenue]]-(Table1[[#This Row],[Revenue]]*Table1[[#This Row],[Discount]]/100)</f>
        <v>63604</v>
      </c>
    </row>
    <row r="1451" spans="1:12" x14ac:dyDescent="0.55000000000000004">
      <c r="A1451" t="s">
        <v>1480</v>
      </c>
      <c r="B1451" s="2">
        <v>45069</v>
      </c>
      <c r="C1451" t="s">
        <v>15</v>
      </c>
      <c r="D1451" t="s">
        <v>20</v>
      </c>
      <c r="E1451" t="s">
        <v>17</v>
      </c>
      <c r="F1451" t="s">
        <v>48</v>
      </c>
      <c r="G1451">
        <v>27329</v>
      </c>
      <c r="H1451">
        <v>5</v>
      </c>
      <c r="I1451">
        <v>9</v>
      </c>
      <c r="J1451" t="s">
        <v>25</v>
      </c>
      <c r="K1451" s="4">
        <f>Table1[[#This Row],[Sales]]*Table1[[#This Row],[Quantity]]</f>
        <v>136645</v>
      </c>
      <c r="L1451" s="4">
        <f>Table1[[#This Row],[Revenue]]-(Table1[[#This Row],[Revenue]]*Table1[[#This Row],[Discount]]/100)</f>
        <v>124346.95</v>
      </c>
    </row>
    <row r="1452" spans="1:12" x14ac:dyDescent="0.55000000000000004">
      <c r="A1452" t="s">
        <v>1481</v>
      </c>
      <c r="B1452" s="2">
        <v>45088</v>
      </c>
      <c r="C1452" t="s">
        <v>19</v>
      </c>
      <c r="D1452" t="s">
        <v>27</v>
      </c>
      <c r="E1452" t="s">
        <v>11</v>
      </c>
      <c r="F1452" t="s">
        <v>29</v>
      </c>
      <c r="G1452">
        <v>29573</v>
      </c>
      <c r="H1452">
        <v>10</v>
      </c>
      <c r="I1452">
        <v>14</v>
      </c>
      <c r="J1452" t="s">
        <v>25</v>
      </c>
      <c r="K1452" s="4">
        <f>Table1[[#This Row],[Sales]]*Table1[[#This Row],[Quantity]]</f>
        <v>295730</v>
      </c>
      <c r="L1452" s="4">
        <f>Table1[[#This Row],[Revenue]]-(Table1[[#This Row],[Revenue]]*Table1[[#This Row],[Discount]]/100)</f>
        <v>254327.8</v>
      </c>
    </row>
    <row r="1453" spans="1:12" x14ac:dyDescent="0.55000000000000004">
      <c r="A1453" t="s">
        <v>1482</v>
      </c>
      <c r="B1453" s="2">
        <v>44931</v>
      </c>
      <c r="C1453" t="s">
        <v>15</v>
      </c>
      <c r="D1453" t="s">
        <v>20</v>
      </c>
      <c r="E1453" t="s">
        <v>17</v>
      </c>
      <c r="F1453" t="s">
        <v>38</v>
      </c>
      <c r="G1453">
        <v>35630</v>
      </c>
      <c r="H1453">
        <v>6</v>
      </c>
      <c r="I1453">
        <v>13</v>
      </c>
      <c r="J1453" t="s">
        <v>25</v>
      </c>
      <c r="K1453" s="4">
        <f>Table1[[#This Row],[Sales]]*Table1[[#This Row],[Quantity]]</f>
        <v>213780</v>
      </c>
      <c r="L1453" s="4">
        <f>Table1[[#This Row],[Revenue]]-(Table1[[#This Row],[Revenue]]*Table1[[#This Row],[Discount]]/100)</f>
        <v>185988.6</v>
      </c>
    </row>
    <row r="1454" spans="1:12" x14ac:dyDescent="0.55000000000000004">
      <c r="A1454" t="s">
        <v>1483</v>
      </c>
      <c r="B1454" s="2">
        <v>45105</v>
      </c>
      <c r="C1454" t="s">
        <v>31</v>
      </c>
      <c r="D1454" t="s">
        <v>20</v>
      </c>
      <c r="E1454" t="s">
        <v>17</v>
      </c>
      <c r="F1454" t="s">
        <v>12</v>
      </c>
      <c r="G1454">
        <v>42625</v>
      </c>
      <c r="H1454">
        <v>3</v>
      </c>
      <c r="I1454">
        <v>8</v>
      </c>
      <c r="J1454" t="s">
        <v>22</v>
      </c>
      <c r="K1454" s="4">
        <f>Table1[[#This Row],[Sales]]*Table1[[#This Row],[Quantity]]</f>
        <v>127875</v>
      </c>
      <c r="L1454" s="4">
        <f>Table1[[#This Row],[Revenue]]-(Table1[[#This Row],[Revenue]]*Table1[[#This Row],[Discount]]/100)</f>
        <v>117645</v>
      </c>
    </row>
    <row r="1455" spans="1:12" x14ac:dyDescent="0.55000000000000004">
      <c r="A1455" t="s">
        <v>1484</v>
      </c>
      <c r="B1455" s="2">
        <v>44946</v>
      </c>
      <c r="C1455" t="s">
        <v>19</v>
      </c>
      <c r="D1455" t="s">
        <v>37</v>
      </c>
      <c r="E1455" t="s">
        <v>17</v>
      </c>
      <c r="F1455" t="s">
        <v>44</v>
      </c>
      <c r="G1455">
        <v>19845</v>
      </c>
      <c r="H1455">
        <v>5</v>
      </c>
      <c r="I1455">
        <v>0</v>
      </c>
      <c r="J1455" t="s">
        <v>25</v>
      </c>
      <c r="K1455" s="4">
        <f>Table1[[#This Row],[Sales]]*Table1[[#This Row],[Quantity]]</f>
        <v>99225</v>
      </c>
      <c r="L1455" s="4">
        <f>Table1[[#This Row],[Revenue]]-(Table1[[#This Row],[Revenue]]*Table1[[#This Row],[Discount]]/100)</f>
        <v>99225</v>
      </c>
    </row>
    <row r="1456" spans="1:12" x14ac:dyDescent="0.55000000000000004">
      <c r="A1456" t="s">
        <v>1485</v>
      </c>
      <c r="B1456" s="2">
        <v>45028</v>
      </c>
      <c r="C1456" t="s">
        <v>24</v>
      </c>
      <c r="D1456" t="s">
        <v>46</v>
      </c>
      <c r="E1456" t="s">
        <v>11</v>
      </c>
      <c r="F1456" t="s">
        <v>29</v>
      </c>
      <c r="G1456">
        <v>37264</v>
      </c>
      <c r="H1456">
        <v>9</v>
      </c>
      <c r="I1456">
        <v>12</v>
      </c>
      <c r="J1456" t="s">
        <v>22</v>
      </c>
      <c r="K1456" s="4">
        <f>Table1[[#This Row],[Sales]]*Table1[[#This Row],[Quantity]]</f>
        <v>335376</v>
      </c>
      <c r="L1456" s="4">
        <f>Table1[[#This Row],[Revenue]]-(Table1[[#This Row],[Revenue]]*Table1[[#This Row],[Discount]]/100)</f>
        <v>295130.88</v>
      </c>
    </row>
    <row r="1457" spans="1:12" x14ac:dyDescent="0.55000000000000004">
      <c r="A1457" t="s">
        <v>1486</v>
      </c>
      <c r="B1457" s="2">
        <v>45006</v>
      </c>
      <c r="C1457" t="s">
        <v>15</v>
      </c>
      <c r="D1457" t="s">
        <v>37</v>
      </c>
      <c r="E1457" t="s">
        <v>17</v>
      </c>
      <c r="F1457" t="s">
        <v>44</v>
      </c>
      <c r="G1457">
        <v>7921</v>
      </c>
      <c r="H1457">
        <v>10</v>
      </c>
      <c r="I1457">
        <v>2</v>
      </c>
      <c r="J1457" t="s">
        <v>25</v>
      </c>
      <c r="K1457" s="4">
        <f>Table1[[#This Row],[Sales]]*Table1[[#This Row],[Quantity]]</f>
        <v>79210</v>
      </c>
      <c r="L1457" s="4">
        <f>Table1[[#This Row],[Revenue]]-(Table1[[#This Row],[Revenue]]*Table1[[#This Row],[Discount]]/100)</f>
        <v>77625.8</v>
      </c>
    </row>
    <row r="1458" spans="1:12" x14ac:dyDescent="0.55000000000000004">
      <c r="A1458" t="s">
        <v>1487</v>
      </c>
      <c r="B1458" s="2">
        <v>44987</v>
      </c>
      <c r="C1458" t="s">
        <v>31</v>
      </c>
      <c r="D1458" t="s">
        <v>27</v>
      </c>
      <c r="E1458" t="s">
        <v>17</v>
      </c>
      <c r="F1458" t="s">
        <v>21</v>
      </c>
      <c r="G1458">
        <v>17796</v>
      </c>
      <c r="H1458">
        <v>2</v>
      </c>
      <c r="I1458">
        <v>9</v>
      </c>
      <c r="J1458" t="s">
        <v>22</v>
      </c>
      <c r="K1458" s="4">
        <f>Table1[[#This Row],[Sales]]*Table1[[#This Row],[Quantity]]</f>
        <v>35592</v>
      </c>
      <c r="L1458" s="4">
        <f>Table1[[#This Row],[Revenue]]-(Table1[[#This Row],[Revenue]]*Table1[[#This Row],[Discount]]/100)</f>
        <v>32388.720000000001</v>
      </c>
    </row>
    <row r="1459" spans="1:12" x14ac:dyDescent="0.55000000000000004">
      <c r="A1459" t="s">
        <v>1488</v>
      </c>
      <c r="B1459" s="2">
        <v>44956</v>
      </c>
      <c r="C1459" t="s">
        <v>19</v>
      </c>
      <c r="D1459" t="s">
        <v>46</v>
      </c>
      <c r="E1459" t="s">
        <v>11</v>
      </c>
      <c r="F1459" t="s">
        <v>38</v>
      </c>
      <c r="G1459">
        <v>41014</v>
      </c>
      <c r="H1459">
        <v>4</v>
      </c>
      <c r="I1459">
        <v>6</v>
      </c>
      <c r="J1459" t="s">
        <v>25</v>
      </c>
      <c r="K1459" s="4">
        <f>Table1[[#This Row],[Sales]]*Table1[[#This Row],[Quantity]]</f>
        <v>164056</v>
      </c>
      <c r="L1459" s="4">
        <f>Table1[[#This Row],[Revenue]]-(Table1[[#This Row],[Revenue]]*Table1[[#This Row],[Discount]]/100)</f>
        <v>154212.64000000001</v>
      </c>
    </row>
    <row r="1460" spans="1:12" x14ac:dyDescent="0.55000000000000004">
      <c r="A1460" t="s">
        <v>1489</v>
      </c>
      <c r="B1460" s="2">
        <v>44940</v>
      </c>
      <c r="C1460" t="s">
        <v>31</v>
      </c>
      <c r="D1460" t="s">
        <v>46</v>
      </c>
      <c r="E1460" t="s">
        <v>11</v>
      </c>
      <c r="F1460" t="s">
        <v>38</v>
      </c>
      <c r="G1460">
        <v>18291</v>
      </c>
      <c r="H1460">
        <v>6</v>
      </c>
      <c r="I1460">
        <v>15</v>
      </c>
      <c r="J1460" t="s">
        <v>22</v>
      </c>
      <c r="K1460" s="4">
        <f>Table1[[#This Row],[Sales]]*Table1[[#This Row],[Quantity]]</f>
        <v>109746</v>
      </c>
      <c r="L1460" s="4">
        <f>Table1[[#This Row],[Revenue]]-(Table1[[#This Row],[Revenue]]*Table1[[#This Row],[Discount]]/100)</f>
        <v>93284.1</v>
      </c>
    </row>
    <row r="1461" spans="1:12" x14ac:dyDescent="0.55000000000000004">
      <c r="A1461" t="s">
        <v>1490</v>
      </c>
      <c r="B1461" s="2">
        <v>45210</v>
      </c>
      <c r="C1461" t="s">
        <v>31</v>
      </c>
      <c r="D1461" t="s">
        <v>46</v>
      </c>
      <c r="E1461" t="s">
        <v>11</v>
      </c>
      <c r="F1461" t="s">
        <v>44</v>
      </c>
      <c r="G1461">
        <v>44004</v>
      </c>
      <c r="H1461">
        <v>5</v>
      </c>
      <c r="I1461">
        <v>3</v>
      </c>
      <c r="J1461" t="s">
        <v>25</v>
      </c>
      <c r="K1461" s="4">
        <f>Table1[[#This Row],[Sales]]*Table1[[#This Row],[Quantity]]</f>
        <v>220020</v>
      </c>
      <c r="L1461" s="4">
        <f>Table1[[#This Row],[Revenue]]-(Table1[[#This Row],[Revenue]]*Table1[[#This Row],[Discount]]/100)</f>
        <v>213419.4</v>
      </c>
    </row>
    <row r="1462" spans="1:12" x14ac:dyDescent="0.55000000000000004">
      <c r="A1462" t="s">
        <v>1491</v>
      </c>
      <c r="B1462" s="2">
        <v>45244</v>
      </c>
      <c r="C1462" t="s">
        <v>15</v>
      </c>
      <c r="D1462" t="s">
        <v>16</v>
      </c>
      <c r="E1462" t="s">
        <v>11</v>
      </c>
      <c r="F1462" t="s">
        <v>12</v>
      </c>
      <c r="G1462">
        <v>26877</v>
      </c>
      <c r="H1462">
        <v>8</v>
      </c>
      <c r="I1462">
        <v>18</v>
      </c>
      <c r="J1462" t="s">
        <v>22</v>
      </c>
      <c r="K1462" s="4">
        <f>Table1[[#This Row],[Sales]]*Table1[[#This Row],[Quantity]]</f>
        <v>215016</v>
      </c>
      <c r="L1462" s="4">
        <f>Table1[[#This Row],[Revenue]]-(Table1[[#This Row],[Revenue]]*Table1[[#This Row],[Discount]]/100)</f>
        <v>176313.12</v>
      </c>
    </row>
    <row r="1463" spans="1:12" x14ac:dyDescent="0.55000000000000004">
      <c r="A1463" t="s">
        <v>1492</v>
      </c>
      <c r="B1463" s="2">
        <v>44971</v>
      </c>
      <c r="C1463" t="s">
        <v>15</v>
      </c>
      <c r="D1463" t="s">
        <v>37</v>
      </c>
      <c r="E1463" t="s">
        <v>11</v>
      </c>
      <c r="F1463" t="s">
        <v>48</v>
      </c>
      <c r="G1463">
        <v>29334</v>
      </c>
      <c r="H1463">
        <v>1</v>
      </c>
      <c r="I1463">
        <v>26</v>
      </c>
      <c r="J1463" t="s">
        <v>22</v>
      </c>
      <c r="K1463" s="4">
        <f>Table1[[#This Row],[Sales]]*Table1[[#This Row],[Quantity]]</f>
        <v>29334</v>
      </c>
      <c r="L1463" s="4">
        <f>Table1[[#This Row],[Revenue]]-(Table1[[#This Row],[Revenue]]*Table1[[#This Row],[Discount]]/100)</f>
        <v>21707.16</v>
      </c>
    </row>
    <row r="1464" spans="1:12" x14ac:dyDescent="0.55000000000000004">
      <c r="A1464" t="s">
        <v>1493</v>
      </c>
      <c r="B1464" s="2">
        <v>45271</v>
      </c>
      <c r="C1464" t="s">
        <v>24</v>
      </c>
      <c r="D1464" t="s">
        <v>27</v>
      </c>
      <c r="E1464" t="s">
        <v>17</v>
      </c>
      <c r="F1464" t="s">
        <v>48</v>
      </c>
      <c r="G1464">
        <v>47413</v>
      </c>
      <c r="H1464">
        <v>7</v>
      </c>
      <c r="I1464">
        <v>23</v>
      </c>
      <c r="J1464" t="s">
        <v>25</v>
      </c>
      <c r="K1464" s="4">
        <f>Table1[[#This Row],[Sales]]*Table1[[#This Row],[Quantity]]</f>
        <v>331891</v>
      </c>
      <c r="L1464" s="4">
        <f>Table1[[#This Row],[Revenue]]-(Table1[[#This Row],[Revenue]]*Table1[[#This Row],[Discount]]/100)</f>
        <v>255556.07</v>
      </c>
    </row>
    <row r="1465" spans="1:12" x14ac:dyDescent="0.55000000000000004">
      <c r="A1465" t="s">
        <v>1494</v>
      </c>
      <c r="B1465" s="2">
        <v>45288</v>
      </c>
      <c r="C1465" t="s">
        <v>19</v>
      </c>
      <c r="D1465" t="s">
        <v>37</v>
      </c>
      <c r="E1465" t="s">
        <v>11</v>
      </c>
      <c r="F1465" t="s">
        <v>34</v>
      </c>
      <c r="G1465">
        <v>17938</v>
      </c>
      <c r="H1465">
        <v>10</v>
      </c>
      <c r="I1465">
        <v>19</v>
      </c>
      <c r="J1465" t="s">
        <v>22</v>
      </c>
      <c r="K1465" s="4">
        <f>Table1[[#This Row],[Sales]]*Table1[[#This Row],[Quantity]]</f>
        <v>179380</v>
      </c>
      <c r="L1465" s="4">
        <f>Table1[[#This Row],[Revenue]]-(Table1[[#This Row],[Revenue]]*Table1[[#This Row],[Discount]]/100)</f>
        <v>145297.79999999999</v>
      </c>
    </row>
    <row r="1466" spans="1:12" x14ac:dyDescent="0.55000000000000004">
      <c r="A1466" t="s">
        <v>1495</v>
      </c>
      <c r="B1466" s="2">
        <v>45078</v>
      </c>
      <c r="C1466" t="s">
        <v>19</v>
      </c>
      <c r="D1466" t="s">
        <v>16</v>
      </c>
      <c r="E1466" t="s">
        <v>11</v>
      </c>
      <c r="F1466" t="s">
        <v>29</v>
      </c>
      <c r="G1466">
        <v>47169</v>
      </c>
      <c r="H1466">
        <v>10</v>
      </c>
      <c r="I1466">
        <v>11</v>
      </c>
      <c r="J1466" t="s">
        <v>13</v>
      </c>
      <c r="K1466" s="4">
        <f>Table1[[#This Row],[Sales]]*Table1[[#This Row],[Quantity]]</f>
        <v>471690</v>
      </c>
      <c r="L1466" s="4">
        <f>Table1[[#This Row],[Revenue]]-(Table1[[#This Row],[Revenue]]*Table1[[#This Row],[Discount]]/100)</f>
        <v>419804.1</v>
      </c>
    </row>
    <row r="1467" spans="1:12" x14ac:dyDescent="0.55000000000000004">
      <c r="A1467" t="s">
        <v>1496</v>
      </c>
      <c r="B1467" s="2">
        <v>45228</v>
      </c>
      <c r="C1467" t="s">
        <v>24</v>
      </c>
      <c r="D1467" t="s">
        <v>46</v>
      </c>
      <c r="E1467" t="s">
        <v>17</v>
      </c>
      <c r="F1467" t="s">
        <v>29</v>
      </c>
      <c r="G1467">
        <v>29759</v>
      </c>
      <c r="H1467">
        <v>9</v>
      </c>
      <c r="I1467">
        <v>4</v>
      </c>
      <c r="J1467" t="s">
        <v>25</v>
      </c>
      <c r="K1467" s="4">
        <f>Table1[[#This Row],[Sales]]*Table1[[#This Row],[Quantity]]</f>
        <v>267831</v>
      </c>
      <c r="L1467" s="4">
        <f>Table1[[#This Row],[Revenue]]-(Table1[[#This Row],[Revenue]]*Table1[[#This Row],[Discount]]/100)</f>
        <v>257117.76</v>
      </c>
    </row>
    <row r="1468" spans="1:12" x14ac:dyDescent="0.55000000000000004">
      <c r="A1468" t="s">
        <v>1497</v>
      </c>
      <c r="B1468" s="2">
        <v>45136</v>
      </c>
      <c r="C1468" t="s">
        <v>15</v>
      </c>
      <c r="D1468" t="s">
        <v>20</v>
      </c>
      <c r="E1468" t="s">
        <v>11</v>
      </c>
      <c r="F1468" t="s">
        <v>44</v>
      </c>
      <c r="G1468">
        <v>24921</v>
      </c>
      <c r="H1468">
        <v>2</v>
      </c>
      <c r="I1468">
        <v>22</v>
      </c>
      <c r="J1468" t="s">
        <v>22</v>
      </c>
      <c r="K1468" s="4">
        <f>Table1[[#This Row],[Sales]]*Table1[[#This Row],[Quantity]]</f>
        <v>49842</v>
      </c>
      <c r="L1468" s="4">
        <f>Table1[[#This Row],[Revenue]]-(Table1[[#This Row],[Revenue]]*Table1[[#This Row],[Discount]]/100)</f>
        <v>38876.76</v>
      </c>
    </row>
    <row r="1469" spans="1:12" x14ac:dyDescent="0.55000000000000004">
      <c r="A1469" t="s">
        <v>1498</v>
      </c>
      <c r="B1469" s="2">
        <v>44961</v>
      </c>
      <c r="C1469" t="s">
        <v>24</v>
      </c>
      <c r="D1469" t="s">
        <v>27</v>
      </c>
      <c r="E1469" t="s">
        <v>17</v>
      </c>
      <c r="F1469" t="s">
        <v>38</v>
      </c>
      <c r="G1469">
        <v>12130</v>
      </c>
      <c r="H1469">
        <v>7</v>
      </c>
      <c r="I1469">
        <v>20</v>
      </c>
      <c r="J1469" t="s">
        <v>25</v>
      </c>
      <c r="K1469" s="4">
        <f>Table1[[#This Row],[Sales]]*Table1[[#This Row],[Quantity]]</f>
        <v>84910</v>
      </c>
      <c r="L1469" s="4">
        <f>Table1[[#This Row],[Revenue]]-(Table1[[#This Row],[Revenue]]*Table1[[#This Row],[Discount]]/100)</f>
        <v>67928</v>
      </c>
    </row>
    <row r="1470" spans="1:12" x14ac:dyDescent="0.55000000000000004">
      <c r="A1470" t="s">
        <v>1499</v>
      </c>
      <c r="B1470" s="2">
        <v>45148</v>
      </c>
      <c r="C1470" t="s">
        <v>15</v>
      </c>
      <c r="D1470" t="s">
        <v>20</v>
      </c>
      <c r="E1470" t="s">
        <v>17</v>
      </c>
      <c r="F1470" t="s">
        <v>48</v>
      </c>
      <c r="G1470">
        <v>12676</v>
      </c>
      <c r="H1470">
        <v>3</v>
      </c>
      <c r="I1470">
        <v>8</v>
      </c>
      <c r="J1470" t="s">
        <v>25</v>
      </c>
      <c r="K1470" s="4">
        <f>Table1[[#This Row],[Sales]]*Table1[[#This Row],[Quantity]]</f>
        <v>38028</v>
      </c>
      <c r="L1470" s="4">
        <f>Table1[[#This Row],[Revenue]]-(Table1[[#This Row],[Revenue]]*Table1[[#This Row],[Discount]]/100)</f>
        <v>34985.760000000002</v>
      </c>
    </row>
    <row r="1471" spans="1:12" x14ac:dyDescent="0.55000000000000004">
      <c r="A1471" t="s">
        <v>1500</v>
      </c>
      <c r="B1471" s="2">
        <v>45188</v>
      </c>
      <c r="C1471" t="s">
        <v>31</v>
      </c>
      <c r="D1471" t="s">
        <v>37</v>
      </c>
      <c r="E1471" t="s">
        <v>11</v>
      </c>
      <c r="F1471" t="s">
        <v>12</v>
      </c>
      <c r="G1471">
        <v>39528</v>
      </c>
      <c r="H1471">
        <v>9</v>
      </c>
      <c r="I1471">
        <v>16</v>
      </c>
      <c r="J1471" t="s">
        <v>13</v>
      </c>
      <c r="K1471" s="4">
        <f>Table1[[#This Row],[Sales]]*Table1[[#This Row],[Quantity]]</f>
        <v>355752</v>
      </c>
      <c r="L1471" s="4">
        <f>Table1[[#This Row],[Revenue]]-(Table1[[#This Row],[Revenue]]*Table1[[#This Row],[Discount]]/100)</f>
        <v>298831.68</v>
      </c>
    </row>
    <row r="1472" spans="1:12" x14ac:dyDescent="0.55000000000000004">
      <c r="A1472" t="s">
        <v>1501</v>
      </c>
      <c r="B1472" s="2">
        <v>44998</v>
      </c>
      <c r="C1472" t="s">
        <v>15</v>
      </c>
      <c r="D1472" t="s">
        <v>46</v>
      </c>
      <c r="E1472" t="s">
        <v>11</v>
      </c>
      <c r="F1472" t="s">
        <v>44</v>
      </c>
      <c r="G1472">
        <v>13062</v>
      </c>
      <c r="H1472">
        <v>1</v>
      </c>
      <c r="I1472">
        <v>20</v>
      </c>
      <c r="J1472" t="s">
        <v>22</v>
      </c>
      <c r="K1472" s="4">
        <f>Table1[[#This Row],[Sales]]*Table1[[#This Row],[Quantity]]</f>
        <v>13062</v>
      </c>
      <c r="L1472" s="4">
        <f>Table1[[#This Row],[Revenue]]-(Table1[[#This Row],[Revenue]]*Table1[[#This Row],[Discount]]/100)</f>
        <v>10449.6</v>
      </c>
    </row>
    <row r="1473" spans="1:12" x14ac:dyDescent="0.55000000000000004">
      <c r="A1473" t="s">
        <v>1502</v>
      </c>
      <c r="B1473" s="2">
        <v>45084</v>
      </c>
      <c r="C1473" t="s">
        <v>24</v>
      </c>
      <c r="D1473" t="s">
        <v>20</v>
      </c>
      <c r="E1473" t="s">
        <v>17</v>
      </c>
      <c r="F1473" t="s">
        <v>38</v>
      </c>
      <c r="G1473">
        <v>35350</v>
      </c>
      <c r="H1473">
        <v>4</v>
      </c>
      <c r="I1473">
        <v>23</v>
      </c>
      <c r="J1473" t="s">
        <v>25</v>
      </c>
      <c r="K1473" s="4">
        <f>Table1[[#This Row],[Sales]]*Table1[[#This Row],[Quantity]]</f>
        <v>141400</v>
      </c>
      <c r="L1473" s="4">
        <f>Table1[[#This Row],[Revenue]]-(Table1[[#This Row],[Revenue]]*Table1[[#This Row],[Discount]]/100)</f>
        <v>108878</v>
      </c>
    </row>
    <row r="1474" spans="1:12" x14ac:dyDescent="0.55000000000000004">
      <c r="A1474" t="s">
        <v>1503</v>
      </c>
      <c r="B1474" s="2">
        <v>45182</v>
      </c>
      <c r="C1474" t="s">
        <v>24</v>
      </c>
      <c r="D1474" t="s">
        <v>46</v>
      </c>
      <c r="E1474" t="s">
        <v>17</v>
      </c>
      <c r="F1474" t="s">
        <v>12</v>
      </c>
      <c r="G1474">
        <v>21817</v>
      </c>
      <c r="H1474">
        <v>7</v>
      </c>
      <c r="I1474">
        <v>24</v>
      </c>
      <c r="J1474" t="s">
        <v>13</v>
      </c>
      <c r="K1474" s="4">
        <f>Table1[[#This Row],[Sales]]*Table1[[#This Row],[Quantity]]</f>
        <v>152719</v>
      </c>
      <c r="L1474" s="4">
        <f>Table1[[#This Row],[Revenue]]-(Table1[[#This Row],[Revenue]]*Table1[[#This Row],[Discount]]/100)</f>
        <v>116066.44</v>
      </c>
    </row>
    <row r="1475" spans="1:12" x14ac:dyDescent="0.55000000000000004">
      <c r="A1475" t="s">
        <v>1504</v>
      </c>
      <c r="B1475" s="2">
        <v>45082</v>
      </c>
      <c r="C1475" t="s">
        <v>15</v>
      </c>
      <c r="D1475" t="s">
        <v>46</v>
      </c>
      <c r="E1475" t="s">
        <v>11</v>
      </c>
      <c r="F1475" t="s">
        <v>12</v>
      </c>
      <c r="G1475">
        <v>19475</v>
      </c>
      <c r="H1475">
        <v>3</v>
      </c>
      <c r="I1475">
        <v>9</v>
      </c>
      <c r="J1475" t="s">
        <v>25</v>
      </c>
      <c r="K1475" s="4">
        <f>Table1[[#This Row],[Sales]]*Table1[[#This Row],[Quantity]]</f>
        <v>58425</v>
      </c>
      <c r="L1475" s="4">
        <f>Table1[[#This Row],[Revenue]]-(Table1[[#This Row],[Revenue]]*Table1[[#This Row],[Discount]]/100)</f>
        <v>53166.75</v>
      </c>
    </row>
    <row r="1476" spans="1:12" x14ac:dyDescent="0.55000000000000004">
      <c r="A1476" t="s">
        <v>1505</v>
      </c>
      <c r="B1476" s="2">
        <v>44936</v>
      </c>
      <c r="C1476" t="s">
        <v>19</v>
      </c>
      <c r="D1476" t="s">
        <v>27</v>
      </c>
      <c r="E1476" t="s">
        <v>17</v>
      </c>
      <c r="F1476" t="s">
        <v>48</v>
      </c>
      <c r="G1476">
        <v>42582</v>
      </c>
      <c r="H1476">
        <v>3</v>
      </c>
      <c r="I1476">
        <v>22</v>
      </c>
      <c r="J1476" t="s">
        <v>13</v>
      </c>
      <c r="K1476" s="4">
        <f>Table1[[#This Row],[Sales]]*Table1[[#This Row],[Quantity]]</f>
        <v>127746</v>
      </c>
      <c r="L1476" s="4">
        <f>Table1[[#This Row],[Revenue]]-(Table1[[#This Row],[Revenue]]*Table1[[#This Row],[Discount]]/100)</f>
        <v>99641.88</v>
      </c>
    </row>
    <row r="1477" spans="1:12" x14ac:dyDescent="0.55000000000000004">
      <c r="A1477" t="s">
        <v>1506</v>
      </c>
      <c r="B1477" s="2">
        <v>45106</v>
      </c>
      <c r="C1477" t="s">
        <v>19</v>
      </c>
      <c r="D1477" t="s">
        <v>16</v>
      </c>
      <c r="E1477" t="s">
        <v>11</v>
      </c>
      <c r="F1477" t="s">
        <v>34</v>
      </c>
      <c r="G1477">
        <v>7056</v>
      </c>
      <c r="H1477">
        <v>2</v>
      </c>
      <c r="I1477">
        <v>25</v>
      </c>
      <c r="J1477" t="s">
        <v>22</v>
      </c>
      <c r="K1477" s="4">
        <f>Table1[[#This Row],[Sales]]*Table1[[#This Row],[Quantity]]</f>
        <v>14112</v>
      </c>
      <c r="L1477" s="4">
        <f>Table1[[#This Row],[Revenue]]-(Table1[[#This Row],[Revenue]]*Table1[[#This Row],[Discount]]/100)</f>
        <v>10584</v>
      </c>
    </row>
    <row r="1478" spans="1:12" x14ac:dyDescent="0.55000000000000004">
      <c r="A1478" t="s">
        <v>1507</v>
      </c>
      <c r="B1478" s="2">
        <v>44963</v>
      </c>
      <c r="C1478" t="s">
        <v>31</v>
      </c>
      <c r="D1478" t="s">
        <v>37</v>
      </c>
      <c r="E1478" t="s">
        <v>11</v>
      </c>
      <c r="F1478" t="s">
        <v>44</v>
      </c>
      <c r="G1478">
        <v>40329</v>
      </c>
      <c r="H1478">
        <v>2</v>
      </c>
      <c r="I1478">
        <v>8</v>
      </c>
      <c r="J1478" t="s">
        <v>25</v>
      </c>
      <c r="K1478" s="4">
        <f>Table1[[#This Row],[Sales]]*Table1[[#This Row],[Quantity]]</f>
        <v>80658</v>
      </c>
      <c r="L1478" s="4">
        <f>Table1[[#This Row],[Revenue]]-(Table1[[#This Row],[Revenue]]*Table1[[#This Row],[Discount]]/100)</f>
        <v>74205.36</v>
      </c>
    </row>
    <row r="1479" spans="1:12" x14ac:dyDescent="0.55000000000000004">
      <c r="A1479" t="s">
        <v>1508</v>
      </c>
      <c r="B1479" s="2">
        <v>45154</v>
      </c>
      <c r="C1479" t="s">
        <v>19</v>
      </c>
      <c r="D1479" t="s">
        <v>20</v>
      </c>
      <c r="E1479" t="s">
        <v>11</v>
      </c>
      <c r="F1479" t="s">
        <v>21</v>
      </c>
      <c r="G1479">
        <v>28033</v>
      </c>
      <c r="H1479">
        <v>7</v>
      </c>
      <c r="I1479">
        <v>20</v>
      </c>
      <c r="J1479" t="s">
        <v>22</v>
      </c>
      <c r="K1479" s="4">
        <f>Table1[[#This Row],[Sales]]*Table1[[#This Row],[Quantity]]</f>
        <v>196231</v>
      </c>
      <c r="L1479" s="4">
        <f>Table1[[#This Row],[Revenue]]-(Table1[[#This Row],[Revenue]]*Table1[[#This Row],[Discount]]/100)</f>
        <v>156984.79999999999</v>
      </c>
    </row>
    <row r="1480" spans="1:12" x14ac:dyDescent="0.55000000000000004">
      <c r="A1480" t="s">
        <v>1509</v>
      </c>
      <c r="B1480" s="2">
        <v>45204</v>
      </c>
      <c r="C1480" t="s">
        <v>15</v>
      </c>
      <c r="D1480" t="s">
        <v>27</v>
      </c>
      <c r="E1480" t="s">
        <v>17</v>
      </c>
      <c r="F1480" t="s">
        <v>34</v>
      </c>
      <c r="G1480">
        <v>47092</v>
      </c>
      <c r="H1480">
        <v>5</v>
      </c>
      <c r="I1480">
        <v>25</v>
      </c>
      <c r="J1480" t="s">
        <v>13</v>
      </c>
      <c r="K1480" s="4">
        <f>Table1[[#This Row],[Sales]]*Table1[[#This Row],[Quantity]]</f>
        <v>235460</v>
      </c>
      <c r="L1480" s="4">
        <f>Table1[[#This Row],[Revenue]]-(Table1[[#This Row],[Revenue]]*Table1[[#This Row],[Discount]]/100)</f>
        <v>176595</v>
      </c>
    </row>
    <row r="1481" spans="1:12" x14ac:dyDescent="0.55000000000000004">
      <c r="A1481" t="s">
        <v>1510</v>
      </c>
      <c r="B1481" s="2">
        <v>45172</v>
      </c>
      <c r="C1481" t="s">
        <v>19</v>
      </c>
      <c r="D1481" t="s">
        <v>37</v>
      </c>
      <c r="E1481" t="s">
        <v>11</v>
      </c>
      <c r="F1481" t="s">
        <v>48</v>
      </c>
      <c r="G1481">
        <v>35150</v>
      </c>
      <c r="H1481">
        <v>3</v>
      </c>
      <c r="I1481">
        <v>2</v>
      </c>
      <c r="J1481" t="s">
        <v>13</v>
      </c>
      <c r="K1481" s="4">
        <f>Table1[[#This Row],[Sales]]*Table1[[#This Row],[Quantity]]</f>
        <v>105450</v>
      </c>
      <c r="L1481" s="4">
        <f>Table1[[#This Row],[Revenue]]-(Table1[[#This Row],[Revenue]]*Table1[[#This Row],[Discount]]/100)</f>
        <v>103341</v>
      </c>
    </row>
    <row r="1482" spans="1:12" x14ac:dyDescent="0.55000000000000004">
      <c r="A1482" t="s">
        <v>1511</v>
      </c>
      <c r="B1482" s="2">
        <v>45243</v>
      </c>
      <c r="C1482" t="s">
        <v>31</v>
      </c>
      <c r="D1482" t="s">
        <v>37</v>
      </c>
      <c r="E1482" t="s">
        <v>11</v>
      </c>
      <c r="F1482" t="s">
        <v>48</v>
      </c>
      <c r="G1482">
        <v>23934</v>
      </c>
      <c r="H1482">
        <v>7</v>
      </c>
      <c r="I1482">
        <v>24</v>
      </c>
      <c r="J1482" t="s">
        <v>25</v>
      </c>
      <c r="K1482" s="4">
        <f>Table1[[#This Row],[Sales]]*Table1[[#This Row],[Quantity]]</f>
        <v>167538</v>
      </c>
      <c r="L1482" s="4">
        <f>Table1[[#This Row],[Revenue]]-(Table1[[#This Row],[Revenue]]*Table1[[#This Row],[Discount]]/100)</f>
        <v>127328.88</v>
      </c>
    </row>
    <row r="1483" spans="1:12" x14ac:dyDescent="0.55000000000000004">
      <c r="A1483" t="s">
        <v>1512</v>
      </c>
      <c r="B1483" s="2">
        <v>45038</v>
      </c>
      <c r="C1483" t="s">
        <v>15</v>
      </c>
      <c r="D1483" t="s">
        <v>27</v>
      </c>
      <c r="E1483" t="s">
        <v>17</v>
      </c>
      <c r="F1483" t="s">
        <v>12</v>
      </c>
      <c r="G1483">
        <v>22041</v>
      </c>
      <c r="H1483">
        <v>5</v>
      </c>
      <c r="I1483">
        <v>4</v>
      </c>
      <c r="J1483" t="s">
        <v>22</v>
      </c>
      <c r="K1483" s="4">
        <f>Table1[[#This Row],[Sales]]*Table1[[#This Row],[Quantity]]</f>
        <v>110205</v>
      </c>
      <c r="L1483" s="4">
        <f>Table1[[#This Row],[Revenue]]-(Table1[[#This Row],[Revenue]]*Table1[[#This Row],[Discount]]/100)</f>
        <v>105796.8</v>
      </c>
    </row>
    <row r="1484" spans="1:12" x14ac:dyDescent="0.55000000000000004">
      <c r="A1484" t="s">
        <v>1513</v>
      </c>
      <c r="B1484" s="2">
        <v>45137</v>
      </c>
      <c r="C1484" t="s">
        <v>19</v>
      </c>
      <c r="D1484" t="s">
        <v>27</v>
      </c>
      <c r="E1484" t="s">
        <v>17</v>
      </c>
      <c r="F1484" t="s">
        <v>21</v>
      </c>
      <c r="G1484">
        <v>38332</v>
      </c>
      <c r="H1484">
        <v>9</v>
      </c>
      <c r="I1484">
        <v>27</v>
      </c>
      <c r="J1484" t="s">
        <v>13</v>
      </c>
      <c r="K1484" s="4">
        <f>Table1[[#This Row],[Sales]]*Table1[[#This Row],[Quantity]]</f>
        <v>344988</v>
      </c>
      <c r="L1484" s="4">
        <f>Table1[[#This Row],[Revenue]]-(Table1[[#This Row],[Revenue]]*Table1[[#This Row],[Discount]]/100)</f>
        <v>251841.24</v>
      </c>
    </row>
    <row r="1485" spans="1:12" x14ac:dyDescent="0.55000000000000004">
      <c r="A1485" t="s">
        <v>1514</v>
      </c>
      <c r="B1485" s="2">
        <v>45185</v>
      </c>
      <c r="C1485" t="s">
        <v>19</v>
      </c>
      <c r="D1485" t="s">
        <v>16</v>
      </c>
      <c r="E1485" t="s">
        <v>17</v>
      </c>
      <c r="F1485" t="s">
        <v>48</v>
      </c>
      <c r="G1485">
        <v>15435</v>
      </c>
      <c r="H1485">
        <v>7</v>
      </c>
      <c r="I1485">
        <v>13</v>
      </c>
      <c r="J1485" t="s">
        <v>13</v>
      </c>
      <c r="K1485" s="4">
        <f>Table1[[#This Row],[Sales]]*Table1[[#This Row],[Quantity]]</f>
        <v>108045</v>
      </c>
      <c r="L1485" s="4">
        <f>Table1[[#This Row],[Revenue]]-(Table1[[#This Row],[Revenue]]*Table1[[#This Row],[Discount]]/100)</f>
        <v>93999.15</v>
      </c>
    </row>
    <row r="1486" spans="1:12" x14ac:dyDescent="0.55000000000000004">
      <c r="A1486" t="s">
        <v>1515</v>
      </c>
      <c r="B1486" s="2">
        <v>45185</v>
      </c>
      <c r="C1486" t="s">
        <v>19</v>
      </c>
      <c r="D1486" t="s">
        <v>20</v>
      </c>
      <c r="E1486" t="s">
        <v>11</v>
      </c>
      <c r="F1486" t="s">
        <v>29</v>
      </c>
      <c r="G1486">
        <v>5617</v>
      </c>
      <c r="H1486">
        <v>3</v>
      </c>
      <c r="I1486">
        <v>14</v>
      </c>
      <c r="J1486" t="s">
        <v>13</v>
      </c>
      <c r="K1486" s="4">
        <f>Table1[[#This Row],[Sales]]*Table1[[#This Row],[Quantity]]</f>
        <v>16851</v>
      </c>
      <c r="L1486" s="4">
        <f>Table1[[#This Row],[Revenue]]-(Table1[[#This Row],[Revenue]]*Table1[[#This Row],[Discount]]/100)</f>
        <v>14491.86</v>
      </c>
    </row>
    <row r="1487" spans="1:12" x14ac:dyDescent="0.55000000000000004">
      <c r="A1487" t="s">
        <v>1516</v>
      </c>
      <c r="B1487" s="2">
        <v>45278</v>
      </c>
      <c r="C1487" t="s">
        <v>31</v>
      </c>
      <c r="D1487" t="s">
        <v>20</v>
      </c>
      <c r="E1487" t="s">
        <v>11</v>
      </c>
      <c r="F1487" t="s">
        <v>12</v>
      </c>
      <c r="G1487">
        <v>46894</v>
      </c>
      <c r="H1487">
        <v>4</v>
      </c>
      <c r="I1487">
        <v>18</v>
      </c>
      <c r="J1487" t="s">
        <v>25</v>
      </c>
      <c r="K1487" s="4">
        <f>Table1[[#This Row],[Sales]]*Table1[[#This Row],[Quantity]]</f>
        <v>187576</v>
      </c>
      <c r="L1487" s="4">
        <f>Table1[[#This Row],[Revenue]]-(Table1[[#This Row],[Revenue]]*Table1[[#This Row],[Discount]]/100)</f>
        <v>153812.32</v>
      </c>
    </row>
    <row r="1488" spans="1:12" x14ac:dyDescent="0.55000000000000004">
      <c r="A1488" t="s">
        <v>1517</v>
      </c>
      <c r="B1488" s="2">
        <v>44940</v>
      </c>
      <c r="C1488" t="s">
        <v>31</v>
      </c>
      <c r="D1488" t="s">
        <v>37</v>
      </c>
      <c r="E1488" t="s">
        <v>17</v>
      </c>
      <c r="F1488" t="s">
        <v>29</v>
      </c>
      <c r="G1488">
        <v>12782</v>
      </c>
      <c r="H1488">
        <v>2</v>
      </c>
      <c r="I1488">
        <v>18</v>
      </c>
      <c r="J1488" t="s">
        <v>22</v>
      </c>
      <c r="K1488" s="4">
        <f>Table1[[#This Row],[Sales]]*Table1[[#This Row],[Quantity]]</f>
        <v>25564</v>
      </c>
      <c r="L1488" s="4">
        <f>Table1[[#This Row],[Revenue]]-(Table1[[#This Row],[Revenue]]*Table1[[#This Row],[Discount]]/100)</f>
        <v>20962.48</v>
      </c>
    </row>
    <row r="1489" spans="1:12" x14ac:dyDescent="0.55000000000000004">
      <c r="A1489" t="s">
        <v>1518</v>
      </c>
      <c r="B1489" s="2">
        <v>45159</v>
      </c>
      <c r="C1489" t="s">
        <v>15</v>
      </c>
      <c r="D1489" t="s">
        <v>16</v>
      </c>
      <c r="E1489" t="s">
        <v>11</v>
      </c>
      <c r="F1489" t="s">
        <v>34</v>
      </c>
      <c r="G1489">
        <v>36117</v>
      </c>
      <c r="H1489">
        <v>2</v>
      </c>
      <c r="I1489">
        <v>4</v>
      </c>
      <c r="J1489" t="s">
        <v>13</v>
      </c>
      <c r="K1489" s="4">
        <f>Table1[[#This Row],[Sales]]*Table1[[#This Row],[Quantity]]</f>
        <v>72234</v>
      </c>
      <c r="L1489" s="4">
        <f>Table1[[#This Row],[Revenue]]-(Table1[[#This Row],[Revenue]]*Table1[[#This Row],[Discount]]/100)</f>
        <v>69344.639999999999</v>
      </c>
    </row>
    <row r="1490" spans="1:12" x14ac:dyDescent="0.55000000000000004">
      <c r="A1490" t="s">
        <v>1519</v>
      </c>
      <c r="B1490" s="2">
        <v>45076</v>
      </c>
      <c r="C1490" t="s">
        <v>19</v>
      </c>
      <c r="D1490" t="s">
        <v>37</v>
      </c>
      <c r="E1490" t="s">
        <v>11</v>
      </c>
      <c r="F1490" t="s">
        <v>12</v>
      </c>
      <c r="G1490">
        <v>37770</v>
      </c>
      <c r="H1490">
        <v>9</v>
      </c>
      <c r="I1490">
        <v>4</v>
      </c>
      <c r="J1490" t="s">
        <v>22</v>
      </c>
      <c r="K1490" s="4">
        <f>Table1[[#This Row],[Sales]]*Table1[[#This Row],[Quantity]]</f>
        <v>339930</v>
      </c>
      <c r="L1490" s="4">
        <f>Table1[[#This Row],[Revenue]]-(Table1[[#This Row],[Revenue]]*Table1[[#This Row],[Discount]]/100)</f>
        <v>326332.79999999999</v>
      </c>
    </row>
    <row r="1491" spans="1:12" x14ac:dyDescent="0.55000000000000004">
      <c r="A1491" t="s">
        <v>1520</v>
      </c>
      <c r="B1491" s="2">
        <v>44959</v>
      </c>
      <c r="C1491" t="s">
        <v>31</v>
      </c>
      <c r="D1491" t="s">
        <v>37</v>
      </c>
      <c r="E1491" t="s">
        <v>17</v>
      </c>
      <c r="F1491" t="s">
        <v>29</v>
      </c>
      <c r="G1491">
        <v>23262</v>
      </c>
      <c r="H1491">
        <v>3</v>
      </c>
      <c r="I1491">
        <v>27</v>
      </c>
      <c r="J1491" t="s">
        <v>22</v>
      </c>
      <c r="K1491" s="4">
        <f>Table1[[#This Row],[Sales]]*Table1[[#This Row],[Quantity]]</f>
        <v>69786</v>
      </c>
      <c r="L1491" s="4">
        <f>Table1[[#This Row],[Revenue]]-(Table1[[#This Row],[Revenue]]*Table1[[#This Row],[Discount]]/100)</f>
        <v>50943.78</v>
      </c>
    </row>
    <row r="1492" spans="1:12" x14ac:dyDescent="0.55000000000000004">
      <c r="A1492" t="s">
        <v>1521</v>
      </c>
      <c r="B1492" s="2">
        <v>45024</v>
      </c>
      <c r="C1492" t="s">
        <v>31</v>
      </c>
      <c r="D1492" t="s">
        <v>27</v>
      </c>
      <c r="E1492" t="s">
        <v>11</v>
      </c>
      <c r="F1492" t="s">
        <v>12</v>
      </c>
      <c r="G1492">
        <v>32720</v>
      </c>
      <c r="H1492">
        <v>6</v>
      </c>
      <c r="I1492">
        <v>22</v>
      </c>
      <c r="J1492" t="s">
        <v>25</v>
      </c>
      <c r="K1492" s="4">
        <f>Table1[[#This Row],[Sales]]*Table1[[#This Row],[Quantity]]</f>
        <v>196320</v>
      </c>
      <c r="L1492" s="4">
        <f>Table1[[#This Row],[Revenue]]-(Table1[[#This Row],[Revenue]]*Table1[[#This Row],[Discount]]/100)</f>
        <v>153129.60000000001</v>
      </c>
    </row>
    <row r="1493" spans="1:12" x14ac:dyDescent="0.55000000000000004">
      <c r="A1493" t="s">
        <v>1522</v>
      </c>
      <c r="B1493" s="2">
        <v>45059</v>
      </c>
      <c r="C1493" t="s">
        <v>31</v>
      </c>
      <c r="D1493" t="s">
        <v>27</v>
      </c>
      <c r="E1493" t="s">
        <v>17</v>
      </c>
      <c r="F1493" t="s">
        <v>44</v>
      </c>
      <c r="G1493">
        <v>25682</v>
      </c>
      <c r="H1493">
        <v>3</v>
      </c>
      <c r="I1493">
        <v>11</v>
      </c>
      <c r="J1493" t="s">
        <v>25</v>
      </c>
      <c r="K1493" s="4">
        <f>Table1[[#This Row],[Sales]]*Table1[[#This Row],[Quantity]]</f>
        <v>77046</v>
      </c>
      <c r="L1493" s="4">
        <f>Table1[[#This Row],[Revenue]]-(Table1[[#This Row],[Revenue]]*Table1[[#This Row],[Discount]]/100)</f>
        <v>68570.94</v>
      </c>
    </row>
    <row r="1494" spans="1:12" x14ac:dyDescent="0.55000000000000004">
      <c r="A1494" t="s">
        <v>1523</v>
      </c>
      <c r="B1494" s="2">
        <v>45071</v>
      </c>
      <c r="C1494" t="s">
        <v>31</v>
      </c>
      <c r="D1494" t="s">
        <v>37</v>
      </c>
      <c r="E1494" t="s">
        <v>17</v>
      </c>
      <c r="F1494" t="s">
        <v>21</v>
      </c>
      <c r="G1494">
        <v>25959</v>
      </c>
      <c r="H1494">
        <v>4</v>
      </c>
      <c r="I1494">
        <v>11</v>
      </c>
      <c r="J1494" t="s">
        <v>13</v>
      </c>
      <c r="K1494" s="4">
        <f>Table1[[#This Row],[Sales]]*Table1[[#This Row],[Quantity]]</f>
        <v>103836</v>
      </c>
      <c r="L1494" s="4">
        <f>Table1[[#This Row],[Revenue]]-(Table1[[#This Row],[Revenue]]*Table1[[#This Row],[Discount]]/100)</f>
        <v>92414.040000000008</v>
      </c>
    </row>
    <row r="1495" spans="1:12" x14ac:dyDescent="0.55000000000000004">
      <c r="A1495" t="s">
        <v>1524</v>
      </c>
      <c r="B1495" s="2">
        <v>44986</v>
      </c>
      <c r="C1495" t="s">
        <v>31</v>
      </c>
      <c r="D1495" t="s">
        <v>37</v>
      </c>
      <c r="E1495" t="s">
        <v>11</v>
      </c>
      <c r="F1495" t="s">
        <v>12</v>
      </c>
      <c r="G1495">
        <v>21895</v>
      </c>
      <c r="H1495">
        <v>6</v>
      </c>
      <c r="I1495">
        <v>23</v>
      </c>
      <c r="J1495" t="s">
        <v>25</v>
      </c>
      <c r="K1495" s="4">
        <f>Table1[[#This Row],[Sales]]*Table1[[#This Row],[Quantity]]</f>
        <v>131370</v>
      </c>
      <c r="L1495" s="4">
        <f>Table1[[#This Row],[Revenue]]-(Table1[[#This Row],[Revenue]]*Table1[[#This Row],[Discount]]/100)</f>
        <v>101154.9</v>
      </c>
    </row>
    <row r="1496" spans="1:12" x14ac:dyDescent="0.55000000000000004">
      <c r="A1496" t="s">
        <v>1525</v>
      </c>
      <c r="B1496" s="2">
        <v>45256</v>
      </c>
      <c r="C1496" t="s">
        <v>19</v>
      </c>
      <c r="D1496" t="s">
        <v>20</v>
      </c>
      <c r="E1496" t="s">
        <v>11</v>
      </c>
      <c r="F1496" t="s">
        <v>21</v>
      </c>
      <c r="G1496">
        <v>36601</v>
      </c>
      <c r="H1496">
        <v>3</v>
      </c>
      <c r="I1496">
        <v>5</v>
      </c>
      <c r="J1496" t="s">
        <v>22</v>
      </c>
      <c r="K1496" s="4">
        <f>Table1[[#This Row],[Sales]]*Table1[[#This Row],[Quantity]]</f>
        <v>109803</v>
      </c>
      <c r="L1496" s="4">
        <f>Table1[[#This Row],[Revenue]]-(Table1[[#This Row],[Revenue]]*Table1[[#This Row],[Discount]]/100)</f>
        <v>104312.85</v>
      </c>
    </row>
    <row r="1497" spans="1:12" x14ac:dyDescent="0.55000000000000004">
      <c r="A1497" t="s">
        <v>1526</v>
      </c>
      <c r="B1497" s="2">
        <v>45005</v>
      </c>
      <c r="C1497" t="s">
        <v>15</v>
      </c>
      <c r="D1497" t="s">
        <v>20</v>
      </c>
      <c r="E1497" t="s">
        <v>17</v>
      </c>
      <c r="F1497" t="s">
        <v>38</v>
      </c>
      <c r="G1497">
        <v>48649</v>
      </c>
      <c r="H1497">
        <v>1</v>
      </c>
      <c r="I1497">
        <v>29</v>
      </c>
      <c r="J1497" t="s">
        <v>13</v>
      </c>
      <c r="K1497" s="4">
        <f>Table1[[#This Row],[Sales]]*Table1[[#This Row],[Quantity]]</f>
        <v>48649</v>
      </c>
      <c r="L1497" s="4">
        <f>Table1[[#This Row],[Revenue]]-(Table1[[#This Row],[Revenue]]*Table1[[#This Row],[Discount]]/100)</f>
        <v>34540.79</v>
      </c>
    </row>
    <row r="1498" spans="1:12" x14ac:dyDescent="0.55000000000000004">
      <c r="A1498" t="s">
        <v>1527</v>
      </c>
      <c r="B1498" s="2">
        <v>45256</v>
      </c>
      <c r="C1498" t="s">
        <v>24</v>
      </c>
      <c r="D1498" t="s">
        <v>16</v>
      </c>
      <c r="E1498" t="s">
        <v>17</v>
      </c>
      <c r="F1498" t="s">
        <v>48</v>
      </c>
      <c r="G1498">
        <v>36105</v>
      </c>
      <c r="H1498">
        <v>2</v>
      </c>
      <c r="I1498">
        <v>18</v>
      </c>
      <c r="J1498" t="s">
        <v>22</v>
      </c>
      <c r="K1498" s="4">
        <f>Table1[[#This Row],[Sales]]*Table1[[#This Row],[Quantity]]</f>
        <v>72210</v>
      </c>
      <c r="L1498" s="4">
        <f>Table1[[#This Row],[Revenue]]-(Table1[[#This Row],[Revenue]]*Table1[[#This Row],[Discount]]/100)</f>
        <v>59212.2</v>
      </c>
    </row>
    <row r="1499" spans="1:12" x14ac:dyDescent="0.55000000000000004">
      <c r="A1499" t="s">
        <v>1528</v>
      </c>
      <c r="B1499" s="2">
        <v>45075</v>
      </c>
      <c r="C1499" t="s">
        <v>19</v>
      </c>
      <c r="D1499" t="s">
        <v>37</v>
      </c>
      <c r="E1499" t="s">
        <v>17</v>
      </c>
      <c r="F1499" t="s">
        <v>21</v>
      </c>
      <c r="G1499">
        <v>2366</v>
      </c>
      <c r="H1499">
        <v>7</v>
      </c>
      <c r="I1499">
        <v>6</v>
      </c>
      <c r="J1499" t="s">
        <v>25</v>
      </c>
      <c r="K1499" s="4">
        <f>Table1[[#This Row],[Sales]]*Table1[[#This Row],[Quantity]]</f>
        <v>16562</v>
      </c>
      <c r="L1499" s="4">
        <f>Table1[[#This Row],[Revenue]]-(Table1[[#This Row],[Revenue]]*Table1[[#This Row],[Discount]]/100)</f>
        <v>15568.28</v>
      </c>
    </row>
    <row r="1500" spans="1:12" x14ac:dyDescent="0.55000000000000004">
      <c r="A1500" t="s">
        <v>1529</v>
      </c>
      <c r="B1500" s="2">
        <v>45154</v>
      </c>
      <c r="C1500" t="s">
        <v>31</v>
      </c>
      <c r="D1500" t="s">
        <v>46</v>
      </c>
      <c r="E1500" t="s">
        <v>11</v>
      </c>
      <c r="F1500" t="s">
        <v>34</v>
      </c>
      <c r="G1500">
        <v>18960</v>
      </c>
      <c r="H1500">
        <v>5</v>
      </c>
      <c r="I1500">
        <v>29</v>
      </c>
      <c r="J1500" t="s">
        <v>22</v>
      </c>
      <c r="K1500" s="4">
        <f>Table1[[#This Row],[Sales]]*Table1[[#This Row],[Quantity]]</f>
        <v>94800</v>
      </c>
      <c r="L1500" s="4">
        <f>Table1[[#This Row],[Revenue]]-(Table1[[#This Row],[Revenue]]*Table1[[#This Row],[Discount]]/100)</f>
        <v>67308</v>
      </c>
    </row>
    <row r="1501" spans="1:12" x14ac:dyDescent="0.55000000000000004">
      <c r="A1501" t="s">
        <v>1530</v>
      </c>
      <c r="B1501" s="2">
        <v>44934</v>
      </c>
      <c r="C1501" t="s">
        <v>31</v>
      </c>
      <c r="D1501" t="s">
        <v>37</v>
      </c>
      <c r="E1501" t="s">
        <v>11</v>
      </c>
      <c r="F1501" t="s">
        <v>34</v>
      </c>
      <c r="G1501">
        <v>2445</v>
      </c>
      <c r="H1501">
        <v>6</v>
      </c>
      <c r="I1501">
        <v>6</v>
      </c>
      <c r="J1501" t="s">
        <v>22</v>
      </c>
      <c r="K1501" s="4">
        <f>Table1[[#This Row],[Sales]]*Table1[[#This Row],[Quantity]]</f>
        <v>14670</v>
      </c>
      <c r="L1501" s="4">
        <f>Table1[[#This Row],[Revenue]]-(Table1[[#This Row],[Revenue]]*Table1[[#This Row],[Discount]]/100)</f>
        <v>13789.8</v>
      </c>
    </row>
    <row r="1502" spans="1:12" x14ac:dyDescent="0.55000000000000004">
      <c r="A1502" t="s">
        <v>1531</v>
      </c>
      <c r="B1502" s="2">
        <v>45067</v>
      </c>
      <c r="C1502" t="s">
        <v>31</v>
      </c>
      <c r="D1502" t="s">
        <v>37</v>
      </c>
      <c r="E1502" t="s">
        <v>17</v>
      </c>
      <c r="F1502" t="s">
        <v>29</v>
      </c>
      <c r="G1502">
        <v>8579</v>
      </c>
      <c r="H1502">
        <v>9</v>
      </c>
      <c r="I1502">
        <v>26</v>
      </c>
      <c r="J1502" t="s">
        <v>25</v>
      </c>
      <c r="K1502" s="4">
        <f>Table1[[#This Row],[Sales]]*Table1[[#This Row],[Quantity]]</f>
        <v>77211</v>
      </c>
      <c r="L1502" s="4">
        <f>Table1[[#This Row],[Revenue]]-(Table1[[#This Row],[Revenue]]*Table1[[#This Row],[Discount]]/100)</f>
        <v>57136.14</v>
      </c>
    </row>
    <row r="1503" spans="1:12" x14ac:dyDescent="0.55000000000000004">
      <c r="A1503" t="s">
        <v>1532</v>
      </c>
      <c r="B1503" s="2">
        <v>45205</v>
      </c>
      <c r="C1503" t="s">
        <v>24</v>
      </c>
      <c r="D1503" t="s">
        <v>16</v>
      </c>
      <c r="E1503" t="s">
        <v>17</v>
      </c>
      <c r="F1503" t="s">
        <v>44</v>
      </c>
      <c r="G1503">
        <v>31971</v>
      </c>
      <c r="H1503">
        <v>8</v>
      </c>
      <c r="I1503">
        <v>14</v>
      </c>
      <c r="J1503" t="s">
        <v>13</v>
      </c>
      <c r="K1503" s="4">
        <f>Table1[[#This Row],[Sales]]*Table1[[#This Row],[Quantity]]</f>
        <v>255768</v>
      </c>
      <c r="L1503" s="4">
        <f>Table1[[#This Row],[Revenue]]-(Table1[[#This Row],[Revenue]]*Table1[[#This Row],[Discount]]/100)</f>
        <v>219960.48</v>
      </c>
    </row>
    <row r="1504" spans="1:12" x14ac:dyDescent="0.55000000000000004">
      <c r="A1504" t="s">
        <v>1533</v>
      </c>
      <c r="B1504" s="2">
        <v>45225</v>
      </c>
      <c r="C1504" t="s">
        <v>24</v>
      </c>
      <c r="D1504" t="s">
        <v>27</v>
      </c>
      <c r="E1504" t="s">
        <v>11</v>
      </c>
      <c r="F1504" t="s">
        <v>21</v>
      </c>
      <c r="G1504">
        <v>2083</v>
      </c>
      <c r="H1504">
        <v>9</v>
      </c>
      <c r="I1504">
        <v>3</v>
      </c>
      <c r="J1504" t="s">
        <v>22</v>
      </c>
      <c r="K1504" s="4">
        <f>Table1[[#This Row],[Sales]]*Table1[[#This Row],[Quantity]]</f>
        <v>18747</v>
      </c>
      <c r="L1504" s="4">
        <f>Table1[[#This Row],[Revenue]]-(Table1[[#This Row],[Revenue]]*Table1[[#This Row],[Discount]]/100)</f>
        <v>18184.59</v>
      </c>
    </row>
    <row r="1505" spans="1:12" x14ac:dyDescent="0.55000000000000004">
      <c r="A1505" t="s">
        <v>1534</v>
      </c>
      <c r="B1505" s="2">
        <v>45170</v>
      </c>
      <c r="C1505" t="s">
        <v>24</v>
      </c>
      <c r="D1505" t="s">
        <v>27</v>
      </c>
      <c r="E1505" t="s">
        <v>17</v>
      </c>
      <c r="F1505" t="s">
        <v>38</v>
      </c>
      <c r="G1505">
        <v>20162</v>
      </c>
      <c r="H1505">
        <v>1</v>
      </c>
      <c r="I1505">
        <v>10</v>
      </c>
      <c r="J1505" t="s">
        <v>13</v>
      </c>
      <c r="K1505" s="4">
        <f>Table1[[#This Row],[Sales]]*Table1[[#This Row],[Quantity]]</f>
        <v>20162</v>
      </c>
      <c r="L1505" s="4">
        <f>Table1[[#This Row],[Revenue]]-(Table1[[#This Row],[Revenue]]*Table1[[#This Row],[Discount]]/100)</f>
        <v>18145.8</v>
      </c>
    </row>
    <row r="1506" spans="1:12" x14ac:dyDescent="0.55000000000000004">
      <c r="A1506" t="s">
        <v>1535</v>
      </c>
      <c r="B1506" s="2">
        <v>44936</v>
      </c>
      <c r="C1506" t="s">
        <v>15</v>
      </c>
      <c r="D1506" t="s">
        <v>37</v>
      </c>
      <c r="E1506" t="s">
        <v>11</v>
      </c>
      <c r="F1506" t="s">
        <v>38</v>
      </c>
      <c r="G1506">
        <v>45606</v>
      </c>
      <c r="H1506">
        <v>9</v>
      </c>
      <c r="I1506">
        <v>28</v>
      </c>
      <c r="J1506" t="s">
        <v>13</v>
      </c>
      <c r="K1506" s="4">
        <f>Table1[[#This Row],[Sales]]*Table1[[#This Row],[Quantity]]</f>
        <v>410454</v>
      </c>
      <c r="L1506" s="4">
        <f>Table1[[#This Row],[Revenue]]-(Table1[[#This Row],[Revenue]]*Table1[[#This Row],[Discount]]/100)</f>
        <v>295526.88</v>
      </c>
    </row>
    <row r="1507" spans="1:12" x14ac:dyDescent="0.55000000000000004">
      <c r="A1507" t="s">
        <v>1536</v>
      </c>
      <c r="B1507" s="2">
        <v>45243</v>
      </c>
      <c r="C1507" t="s">
        <v>19</v>
      </c>
      <c r="D1507" t="s">
        <v>27</v>
      </c>
      <c r="E1507" t="s">
        <v>17</v>
      </c>
      <c r="F1507" t="s">
        <v>34</v>
      </c>
      <c r="G1507">
        <v>37003</v>
      </c>
      <c r="H1507">
        <v>7</v>
      </c>
      <c r="I1507">
        <v>5</v>
      </c>
      <c r="J1507" t="s">
        <v>22</v>
      </c>
      <c r="K1507" s="4">
        <f>Table1[[#This Row],[Sales]]*Table1[[#This Row],[Quantity]]</f>
        <v>259021</v>
      </c>
      <c r="L1507" s="4">
        <f>Table1[[#This Row],[Revenue]]-(Table1[[#This Row],[Revenue]]*Table1[[#This Row],[Discount]]/100)</f>
        <v>246069.95</v>
      </c>
    </row>
    <row r="1508" spans="1:12" x14ac:dyDescent="0.55000000000000004">
      <c r="A1508" t="s">
        <v>1537</v>
      </c>
      <c r="B1508" s="2">
        <v>45099</v>
      </c>
      <c r="C1508" t="s">
        <v>31</v>
      </c>
      <c r="D1508" t="s">
        <v>46</v>
      </c>
      <c r="E1508" t="s">
        <v>11</v>
      </c>
      <c r="F1508" t="s">
        <v>34</v>
      </c>
      <c r="G1508">
        <v>41316</v>
      </c>
      <c r="H1508">
        <v>3</v>
      </c>
      <c r="I1508">
        <v>10</v>
      </c>
      <c r="J1508" t="s">
        <v>25</v>
      </c>
      <c r="K1508" s="4">
        <f>Table1[[#This Row],[Sales]]*Table1[[#This Row],[Quantity]]</f>
        <v>123948</v>
      </c>
      <c r="L1508" s="4">
        <f>Table1[[#This Row],[Revenue]]-(Table1[[#This Row],[Revenue]]*Table1[[#This Row],[Discount]]/100)</f>
        <v>111553.2</v>
      </c>
    </row>
    <row r="1509" spans="1:12" x14ac:dyDescent="0.55000000000000004">
      <c r="A1509" t="s">
        <v>1538</v>
      </c>
      <c r="B1509" s="2">
        <v>45050</v>
      </c>
      <c r="C1509" t="s">
        <v>31</v>
      </c>
      <c r="D1509" t="s">
        <v>16</v>
      </c>
      <c r="E1509" t="s">
        <v>11</v>
      </c>
      <c r="F1509" t="s">
        <v>21</v>
      </c>
      <c r="G1509">
        <v>4856</v>
      </c>
      <c r="H1509">
        <v>5</v>
      </c>
      <c r="I1509">
        <v>19</v>
      </c>
      <c r="J1509" t="s">
        <v>22</v>
      </c>
      <c r="K1509" s="4">
        <f>Table1[[#This Row],[Sales]]*Table1[[#This Row],[Quantity]]</f>
        <v>24280</v>
      </c>
      <c r="L1509" s="4">
        <f>Table1[[#This Row],[Revenue]]-(Table1[[#This Row],[Revenue]]*Table1[[#This Row],[Discount]]/100)</f>
        <v>19666.8</v>
      </c>
    </row>
    <row r="1510" spans="1:12" x14ac:dyDescent="0.55000000000000004">
      <c r="A1510" t="s">
        <v>1539</v>
      </c>
      <c r="B1510" s="2">
        <v>44927</v>
      </c>
      <c r="C1510" t="s">
        <v>15</v>
      </c>
      <c r="D1510" t="s">
        <v>37</v>
      </c>
      <c r="E1510" t="s">
        <v>17</v>
      </c>
      <c r="F1510" t="s">
        <v>38</v>
      </c>
      <c r="G1510">
        <v>43841</v>
      </c>
      <c r="H1510">
        <v>2</v>
      </c>
      <c r="I1510">
        <v>25</v>
      </c>
      <c r="J1510" t="s">
        <v>13</v>
      </c>
      <c r="K1510" s="4">
        <f>Table1[[#This Row],[Sales]]*Table1[[#This Row],[Quantity]]</f>
        <v>87682</v>
      </c>
      <c r="L1510" s="4">
        <f>Table1[[#This Row],[Revenue]]-(Table1[[#This Row],[Revenue]]*Table1[[#This Row],[Discount]]/100)</f>
        <v>65761.5</v>
      </c>
    </row>
    <row r="1511" spans="1:12" x14ac:dyDescent="0.55000000000000004">
      <c r="A1511" t="s">
        <v>1540</v>
      </c>
      <c r="B1511" s="2">
        <v>45182</v>
      </c>
      <c r="C1511" t="s">
        <v>19</v>
      </c>
      <c r="D1511" t="s">
        <v>37</v>
      </c>
      <c r="E1511" t="s">
        <v>11</v>
      </c>
      <c r="F1511" t="s">
        <v>12</v>
      </c>
      <c r="G1511">
        <v>8051</v>
      </c>
      <c r="H1511">
        <v>6</v>
      </c>
      <c r="I1511">
        <v>24</v>
      </c>
      <c r="J1511" t="s">
        <v>25</v>
      </c>
      <c r="K1511" s="4">
        <f>Table1[[#This Row],[Sales]]*Table1[[#This Row],[Quantity]]</f>
        <v>48306</v>
      </c>
      <c r="L1511" s="4">
        <f>Table1[[#This Row],[Revenue]]-(Table1[[#This Row],[Revenue]]*Table1[[#This Row],[Discount]]/100)</f>
        <v>36712.559999999998</v>
      </c>
    </row>
    <row r="1512" spans="1:12" x14ac:dyDescent="0.55000000000000004">
      <c r="A1512" t="s">
        <v>1541</v>
      </c>
      <c r="B1512" s="2">
        <v>45022</v>
      </c>
      <c r="C1512" t="s">
        <v>15</v>
      </c>
      <c r="D1512" t="s">
        <v>16</v>
      </c>
      <c r="E1512" t="s">
        <v>17</v>
      </c>
      <c r="F1512" t="s">
        <v>12</v>
      </c>
      <c r="G1512">
        <v>3613</v>
      </c>
      <c r="H1512">
        <v>1</v>
      </c>
      <c r="I1512">
        <v>22</v>
      </c>
      <c r="J1512" t="s">
        <v>22</v>
      </c>
      <c r="K1512" s="4">
        <f>Table1[[#This Row],[Sales]]*Table1[[#This Row],[Quantity]]</f>
        <v>3613</v>
      </c>
      <c r="L1512" s="4">
        <f>Table1[[#This Row],[Revenue]]-(Table1[[#This Row],[Revenue]]*Table1[[#This Row],[Discount]]/100)</f>
        <v>2818.14</v>
      </c>
    </row>
    <row r="1513" spans="1:12" x14ac:dyDescent="0.55000000000000004">
      <c r="A1513" t="s">
        <v>1542</v>
      </c>
      <c r="B1513" s="2">
        <v>45203</v>
      </c>
      <c r="C1513" t="s">
        <v>24</v>
      </c>
      <c r="D1513" t="s">
        <v>37</v>
      </c>
      <c r="E1513" t="s">
        <v>11</v>
      </c>
      <c r="F1513" t="s">
        <v>29</v>
      </c>
      <c r="G1513">
        <v>21380</v>
      </c>
      <c r="H1513">
        <v>1</v>
      </c>
      <c r="I1513">
        <v>7</v>
      </c>
      <c r="J1513" t="s">
        <v>13</v>
      </c>
      <c r="K1513" s="4">
        <f>Table1[[#This Row],[Sales]]*Table1[[#This Row],[Quantity]]</f>
        <v>21380</v>
      </c>
      <c r="L1513" s="4">
        <f>Table1[[#This Row],[Revenue]]-(Table1[[#This Row],[Revenue]]*Table1[[#This Row],[Discount]]/100)</f>
        <v>19883.400000000001</v>
      </c>
    </row>
    <row r="1514" spans="1:12" x14ac:dyDescent="0.55000000000000004">
      <c r="A1514" t="s">
        <v>1543</v>
      </c>
      <c r="B1514" s="2">
        <v>45103</v>
      </c>
      <c r="C1514" t="s">
        <v>31</v>
      </c>
      <c r="D1514" t="s">
        <v>37</v>
      </c>
      <c r="E1514" t="s">
        <v>17</v>
      </c>
      <c r="F1514" t="s">
        <v>34</v>
      </c>
      <c r="G1514">
        <v>44869</v>
      </c>
      <c r="H1514">
        <v>3</v>
      </c>
      <c r="I1514">
        <v>30</v>
      </c>
      <c r="J1514" t="s">
        <v>25</v>
      </c>
      <c r="K1514" s="4">
        <f>Table1[[#This Row],[Sales]]*Table1[[#This Row],[Quantity]]</f>
        <v>134607</v>
      </c>
      <c r="L1514" s="4">
        <f>Table1[[#This Row],[Revenue]]-(Table1[[#This Row],[Revenue]]*Table1[[#This Row],[Discount]]/100)</f>
        <v>94224.9</v>
      </c>
    </row>
    <row r="1515" spans="1:12" x14ac:dyDescent="0.55000000000000004">
      <c r="A1515" t="s">
        <v>1544</v>
      </c>
      <c r="B1515" s="2">
        <v>44946</v>
      </c>
      <c r="C1515" t="s">
        <v>24</v>
      </c>
      <c r="D1515" t="s">
        <v>16</v>
      </c>
      <c r="E1515" t="s">
        <v>11</v>
      </c>
      <c r="F1515" t="s">
        <v>34</v>
      </c>
      <c r="G1515">
        <v>13851</v>
      </c>
      <c r="H1515">
        <v>2</v>
      </c>
      <c r="I1515">
        <v>19</v>
      </c>
      <c r="J1515" t="s">
        <v>13</v>
      </c>
      <c r="K1515" s="4">
        <f>Table1[[#This Row],[Sales]]*Table1[[#This Row],[Quantity]]</f>
        <v>27702</v>
      </c>
      <c r="L1515" s="4">
        <f>Table1[[#This Row],[Revenue]]-(Table1[[#This Row],[Revenue]]*Table1[[#This Row],[Discount]]/100)</f>
        <v>22438.62</v>
      </c>
    </row>
    <row r="1516" spans="1:12" x14ac:dyDescent="0.55000000000000004">
      <c r="A1516" t="s">
        <v>1545</v>
      </c>
      <c r="B1516" s="2">
        <v>45181</v>
      </c>
      <c r="C1516" t="s">
        <v>24</v>
      </c>
      <c r="D1516" t="s">
        <v>27</v>
      </c>
      <c r="E1516" t="s">
        <v>11</v>
      </c>
      <c r="F1516" t="s">
        <v>48</v>
      </c>
      <c r="G1516">
        <v>41986</v>
      </c>
      <c r="H1516">
        <v>4</v>
      </c>
      <c r="I1516">
        <v>23</v>
      </c>
      <c r="J1516" t="s">
        <v>13</v>
      </c>
      <c r="K1516" s="4">
        <f>Table1[[#This Row],[Sales]]*Table1[[#This Row],[Quantity]]</f>
        <v>167944</v>
      </c>
      <c r="L1516" s="4">
        <f>Table1[[#This Row],[Revenue]]-(Table1[[#This Row],[Revenue]]*Table1[[#This Row],[Discount]]/100)</f>
        <v>129316.88</v>
      </c>
    </row>
    <row r="1517" spans="1:12" x14ac:dyDescent="0.55000000000000004">
      <c r="A1517" t="s">
        <v>1546</v>
      </c>
      <c r="B1517" s="2">
        <v>45072</v>
      </c>
      <c r="C1517" t="s">
        <v>31</v>
      </c>
      <c r="D1517" t="s">
        <v>16</v>
      </c>
      <c r="E1517" t="s">
        <v>11</v>
      </c>
      <c r="F1517" t="s">
        <v>48</v>
      </c>
      <c r="G1517">
        <v>44040</v>
      </c>
      <c r="H1517">
        <v>5</v>
      </c>
      <c r="I1517">
        <v>24</v>
      </c>
      <c r="J1517" t="s">
        <v>13</v>
      </c>
      <c r="K1517" s="4">
        <f>Table1[[#This Row],[Sales]]*Table1[[#This Row],[Quantity]]</f>
        <v>220200</v>
      </c>
      <c r="L1517" s="4">
        <f>Table1[[#This Row],[Revenue]]-(Table1[[#This Row],[Revenue]]*Table1[[#This Row],[Discount]]/100)</f>
        <v>167352</v>
      </c>
    </row>
    <row r="1518" spans="1:12" x14ac:dyDescent="0.55000000000000004">
      <c r="A1518" t="s">
        <v>1547</v>
      </c>
      <c r="B1518" s="2">
        <v>45153</v>
      </c>
      <c r="C1518" t="s">
        <v>24</v>
      </c>
      <c r="D1518" t="s">
        <v>46</v>
      </c>
      <c r="E1518" t="s">
        <v>17</v>
      </c>
      <c r="F1518" t="s">
        <v>44</v>
      </c>
      <c r="G1518">
        <v>41225</v>
      </c>
      <c r="H1518">
        <v>6</v>
      </c>
      <c r="I1518">
        <v>4</v>
      </c>
      <c r="J1518" t="s">
        <v>13</v>
      </c>
      <c r="K1518" s="4">
        <f>Table1[[#This Row],[Sales]]*Table1[[#This Row],[Quantity]]</f>
        <v>247350</v>
      </c>
      <c r="L1518" s="4">
        <f>Table1[[#This Row],[Revenue]]-(Table1[[#This Row],[Revenue]]*Table1[[#This Row],[Discount]]/100)</f>
        <v>237456</v>
      </c>
    </row>
    <row r="1519" spans="1:12" x14ac:dyDescent="0.55000000000000004">
      <c r="A1519" t="s">
        <v>1548</v>
      </c>
      <c r="B1519" s="2">
        <v>45121</v>
      </c>
      <c r="C1519" t="s">
        <v>24</v>
      </c>
      <c r="D1519" t="s">
        <v>27</v>
      </c>
      <c r="E1519" t="s">
        <v>17</v>
      </c>
      <c r="F1519" t="s">
        <v>12</v>
      </c>
      <c r="G1519">
        <v>13230</v>
      </c>
      <c r="H1519">
        <v>7</v>
      </c>
      <c r="I1519">
        <v>15</v>
      </c>
      <c r="J1519" t="s">
        <v>25</v>
      </c>
      <c r="K1519" s="4">
        <f>Table1[[#This Row],[Sales]]*Table1[[#This Row],[Quantity]]</f>
        <v>92610</v>
      </c>
      <c r="L1519" s="4">
        <f>Table1[[#This Row],[Revenue]]-(Table1[[#This Row],[Revenue]]*Table1[[#This Row],[Discount]]/100)</f>
        <v>78718.5</v>
      </c>
    </row>
    <row r="1520" spans="1:12" x14ac:dyDescent="0.55000000000000004">
      <c r="A1520" t="s">
        <v>1549</v>
      </c>
      <c r="B1520" s="2">
        <v>45076</v>
      </c>
      <c r="C1520" t="s">
        <v>24</v>
      </c>
      <c r="D1520" t="s">
        <v>46</v>
      </c>
      <c r="E1520" t="s">
        <v>17</v>
      </c>
      <c r="F1520" t="s">
        <v>48</v>
      </c>
      <c r="G1520">
        <v>25601</v>
      </c>
      <c r="H1520">
        <v>9</v>
      </c>
      <c r="I1520">
        <v>10</v>
      </c>
      <c r="J1520" t="s">
        <v>22</v>
      </c>
      <c r="K1520" s="4">
        <f>Table1[[#This Row],[Sales]]*Table1[[#This Row],[Quantity]]</f>
        <v>230409</v>
      </c>
      <c r="L1520" s="4">
        <f>Table1[[#This Row],[Revenue]]-(Table1[[#This Row],[Revenue]]*Table1[[#This Row],[Discount]]/100)</f>
        <v>207368.1</v>
      </c>
    </row>
    <row r="1521" spans="1:12" x14ac:dyDescent="0.55000000000000004">
      <c r="A1521" t="s">
        <v>1550</v>
      </c>
      <c r="B1521" s="2">
        <v>45135</v>
      </c>
      <c r="C1521" t="s">
        <v>24</v>
      </c>
      <c r="D1521" t="s">
        <v>20</v>
      </c>
      <c r="E1521" t="s">
        <v>11</v>
      </c>
      <c r="F1521" t="s">
        <v>21</v>
      </c>
      <c r="G1521">
        <v>42012</v>
      </c>
      <c r="H1521">
        <v>8</v>
      </c>
      <c r="I1521">
        <v>6</v>
      </c>
      <c r="J1521" t="s">
        <v>13</v>
      </c>
      <c r="K1521" s="4">
        <f>Table1[[#This Row],[Sales]]*Table1[[#This Row],[Quantity]]</f>
        <v>336096</v>
      </c>
      <c r="L1521" s="4">
        <f>Table1[[#This Row],[Revenue]]-(Table1[[#This Row],[Revenue]]*Table1[[#This Row],[Discount]]/100)</f>
        <v>315930.23999999999</v>
      </c>
    </row>
    <row r="1522" spans="1:12" x14ac:dyDescent="0.55000000000000004">
      <c r="A1522" t="s">
        <v>1551</v>
      </c>
      <c r="B1522" s="2">
        <v>45045</v>
      </c>
      <c r="C1522" t="s">
        <v>31</v>
      </c>
      <c r="D1522" t="s">
        <v>16</v>
      </c>
      <c r="E1522" t="s">
        <v>17</v>
      </c>
      <c r="F1522" t="s">
        <v>48</v>
      </c>
      <c r="G1522">
        <v>5890</v>
      </c>
      <c r="H1522">
        <v>7</v>
      </c>
      <c r="I1522">
        <v>13</v>
      </c>
      <c r="J1522" t="s">
        <v>25</v>
      </c>
      <c r="K1522" s="4">
        <f>Table1[[#This Row],[Sales]]*Table1[[#This Row],[Quantity]]</f>
        <v>41230</v>
      </c>
      <c r="L1522" s="4">
        <f>Table1[[#This Row],[Revenue]]-(Table1[[#This Row],[Revenue]]*Table1[[#This Row],[Discount]]/100)</f>
        <v>35870.1</v>
      </c>
    </row>
    <row r="1523" spans="1:12" x14ac:dyDescent="0.55000000000000004">
      <c r="A1523" t="s">
        <v>1552</v>
      </c>
      <c r="B1523" s="2">
        <v>45175</v>
      </c>
      <c r="C1523" t="s">
        <v>24</v>
      </c>
      <c r="D1523" t="s">
        <v>27</v>
      </c>
      <c r="E1523" t="s">
        <v>17</v>
      </c>
      <c r="F1523" t="s">
        <v>44</v>
      </c>
      <c r="G1523">
        <v>37869</v>
      </c>
      <c r="H1523">
        <v>4</v>
      </c>
      <c r="I1523">
        <v>27</v>
      </c>
      <c r="J1523" t="s">
        <v>25</v>
      </c>
      <c r="K1523" s="4">
        <f>Table1[[#This Row],[Sales]]*Table1[[#This Row],[Quantity]]</f>
        <v>151476</v>
      </c>
      <c r="L1523" s="4">
        <f>Table1[[#This Row],[Revenue]]-(Table1[[#This Row],[Revenue]]*Table1[[#This Row],[Discount]]/100)</f>
        <v>110577.48000000001</v>
      </c>
    </row>
    <row r="1524" spans="1:12" x14ac:dyDescent="0.55000000000000004">
      <c r="A1524" t="s">
        <v>1553</v>
      </c>
      <c r="B1524" s="2">
        <v>45087</v>
      </c>
      <c r="C1524" t="s">
        <v>24</v>
      </c>
      <c r="D1524" t="s">
        <v>16</v>
      </c>
      <c r="E1524" t="s">
        <v>11</v>
      </c>
      <c r="F1524" t="s">
        <v>38</v>
      </c>
      <c r="G1524">
        <v>17128</v>
      </c>
      <c r="H1524">
        <v>1</v>
      </c>
      <c r="I1524">
        <v>8</v>
      </c>
      <c r="J1524" t="s">
        <v>13</v>
      </c>
      <c r="K1524" s="4">
        <f>Table1[[#This Row],[Sales]]*Table1[[#This Row],[Quantity]]</f>
        <v>17128</v>
      </c>
      <c r="L1524" s="4">
        <f>Table1[[#This Row],[Revenue]]-(Table1[[#This Row],[Revenue]]*Table1[[#This Row],[Discount]]/100)</f>
        <v>15757.76</v>
      </c>
    </row>
    <row r="1525" spans="1:12" x14ac:dyDescent="0.55000000000000004">
      <c r="A1525" t="s">
        <v>1554</v>
      </c>
      <c r="B1525" s="2">
        <v>45001</v>
      </c>
      <c r="C1525" t="s">
        <v>19</v>
      </c>
      <c r="D1525" t="s">
        <v>20</v>
      </c>
      <c r="E1525" t="s">
        <v>11</v>
      </c>
      <c r="F1525" t="s">
        <v>38</v>
      </c>
      <c r="G1525">
        <v>43766</v>
      </c>
      <c r="H1525">
        <v>1</v>
      </c>
      <c r="I1525">
        <v>1</v>
      </c>
      <c r="J1525" t="s">
        <v>13</v>
      </c>
      <c r="K1525" s="4">
        <f>Table1[[#This Row],[Sales]]*Table1[[#This Row],[Quantity]]</f>
        <v>43766</v>
      </c>
      <c r="L1525" s="4">
        <f>Table1[[#This Row],[Revenue]]-(Table1[[#This Row],[Revenue]]*Table1[[#This Row],[Discount]]/100)</f>
        <v>43328.34</v>
      </c>
    </row>
    <row r="1526" spans="1:12" x14ac:dyDescent="0.55000000000000004">
      <c r="A1526" t="s">
        <v>1555</v>
      </c>
      <c r="B1526" s="2">
        <v>45001</v>
      </c>
      <c r="C1526" t="s">
        <v>15</v>
      </c>
      <c r="D1526" t="s">
        <v>16</v>
      </c>
      <c r="E1526" t="s">
        <v>17</v>
      </c>
      <c r="F1526" t="s">
        <v>44</v>
      </c>
      <c r="G1526">
        <v>33742</v>
      </c>
      <c r="H1526">
        <v>9</v>
      </c>
      <c r="I1526">
        <v>17</v>
      </c>
      <c r="J1526" t="s">
        <v>13</v>
      </c>
      <c r="K1526" s="4">
        <f>Table1[[#This Row],[Sales]]*Table1[[#This Row],[Quantity]]</f>
        <v>303678</v>
      </c>
      <c r="L1526" s="4">
        <f>Table1[[#This Row],[Revenue]]-(Table1[[#This Row],[Revenue]]*Table1[[#This Row],[Discount]]/100)</f>
        <v>252052.74</v>
      </c>
    </row>
    <row r="1527" spans="1:12" x14ac:dyDescent="0.55000000000000004">
      <c r="A1527" t="s">
        <v>1556</v>
      </c>
      <c r="B1527" s="2">
        <v>45200</v>
      </c>
      <c r="C1527" t="s">
        <v>24</v>
      </c>
      <c r="D1527" t="s">
        <v>46</v>
      </c>
      <c r="E1527" t="s">
        <v>17</v>
      </c>
      <c r="F1527" t="s">
        <v>21</v>
      </c>
      <c r="G1527">
        <v>24114</v>
      </c>
      <c r="H1527">
        <v>3</v>
      </c>
      <c r="I1527">
        <v>0</v>
      </c>
      <c r="J1527" t="s">
        <v>25</v>
      </c>
      <c r="K1527" s="4">
        <f>Table1[[#This Row],[Sales]]*Table1[[#This Row],[Quantity]]</f>
        <v>72342</v>
      </c>
      <c r="L1527" s="4">
        <f>Table1[[#This Row],[Revenue]]-(Table1[[#This Row],[Revenue]]*Table1[[#This Row],[Discount]]/100)</f>
        <v>72342</v>
      </c>
    </row>
    <row r="1528" spans="1:12" x14ac:dyDescent="0.55000000000000004">
      <c r="A1528" t="s">
        <v>1557</v>
      </c>
      <c r="B1528" s="2">
        <v>45185</v>
      </c>
      <c r="C1528" t="s">
        <v>15</v>
      </c>
      <c r="D1528" t="s">
        <v>16</v>
      </c>
      <c r="E1528" t="s">
        <v>17</v>
      </c>
      <c r="F1528" t="s">
        <v>21</v>
      </c>
      <c r="G1528">
        <v>47558</v>
      </c>
      <c r="H1528">
        <v>8</v>
      </c>
      <c r="I1528">
        <v>9</v>
      </c>
      <c r="J1528" t="s">
        <v>13</v>
      </c>
      <c r="K1528" s="4">
        <f>Table1[[#This Row],[Sales]]*Table1[[#This Row],[Quantity]]</f>
        <v>380464</v>
      </c>
      <c r="L1528" s="4">
        <f>Table1[[#This Row],[Revenue]]-(Table1[[#This Row],[Revenue]]*Table1[[#This Row],[Discount]]/100)</f>
        <v>346222.24</v>
      </c>
    </row>
    <row r="1529" spans="1:12" x14ac:dyDescent="0.55000000000000004">
      <c r="A1529" t="s">
        <v>1558</v>
      </c>
      <c r="B1529" s="2">
        <v>45006</v>
      </c>
      <c r="C1529" t="s">
        <v>24</v>
      </c>
      <c r="D1529" t="s">
        <v>46</v>
      </c>
      <c r="E1529" t="s">
        <v>17</v>
      </c>
      <c r="F1529" t="s">
        <v>21</v>
      </c>
      <c r="G1529">
        <v>49710</v>
      </c>
      <c r="H1529">
        <v>10</v>
      </c>
      <c r="I1529">
        <v>2</v>
      </c>
      <c r="J1529" t="s">
        <v>13</v>
      </c>
      <c r="K1529" s="4">
        <f>Table1[[#This Row],[Sales]]*Table1[[#This Row],[Quantity]]</f>
        <v>497100</v>
      </c>
      <c r="L1529" s="4">
        <f>Table1[[#This Row],[Revenue]]-(Table1[[#This Row],[Revenue]]*Table1[[#This Row],[Discount]]/100)</f>
        <v>487158</v>
      </c>
    </row>
    <row r="1530" spans="1:12" x14ac:dyDescent="0.55000000000000004">
      <c r="A1530" t="s">
        <v>1559</v>
      </c>
      <c r="B1530" s="2">
        <v>45148</v>
      </c>
      <c r="C1530" t="s">
        <v>24</v>
      </c>
      <c r="D1530" t="s">
        <v>37</v>
      </c>
      <c r="E1530" t="s">
        <v>17</v>
      </c>
      <c r="F1530" t="s">
        <v>21</v>
      </c>
      <c r="G1530">
        <v>37133</v>
      </c>
      <c r="H1530">
        <v>2</v>
      </c>
      <c r="I1530">
        <v>13</v>
      </c>
      <c r="J1530" t="s">
        <v>25</v>
      </c>
      <c r="K1530" s="4">
        <f>Table1[[#This Row],[Sales]]*Table1[[#This Row],[Quantity]]</f>
        <v>74266</v>
      </c>
      <c r="L1530" s="4">
        <f>Table1[[#This Row],[Revenue]]-(Table1[[#This Row],[Revenue]]*Table1[[#This Row],[Discount]]/100)</f>
        <v>64611.42</v>
      </c>
    </row>
    <row r="1531" spans="1:12" x14ac:dyDescent="0.55000000000000004">
      <c r="A1531" t="s">
        <v>1560</v>
      </c>
      <c r="B1531" s="2">
        <v>44932</v>
      </c>
      <c r="C1531" t="s">
        <v>15</v>
      </c>
      <c r="D1531" t="s">
        <v>16</v>
      </c>
      <c r="E1531" t="s">
        <v>11</v>
      </c>
      <c r="F1531" t="s">
        <v>48</v>
      </c>
      <c r="G1531">
        <v>47578</v>
      </c>
      <c r="H1531">
        <v>3</v>
      </c>
      <c r="I1531">
        <v>8</v>
      </c>
      <c r="J1531" t="s">
        <v>13</v>
      </c>
      <c r="K1531" s="4">
        <f>Table1[[#This Row],[Sales]]*Table1[[#This Row],[Quantity]]</f>
        <v>142734</v>
      </c>
      <c r="L1531" s="4">
        <f>Table1[[#This Row],[Revenue]]-(Table1[[#This Row],[Revenue]]*Table1[[#This Row],[Discount]]/100)</f>
        <v>131315.28</v>
      </c>
    </row>
    <row r="1532" spans="1:12" x14ac:dyDescent="0.55000000000000004">
      <c r="A1532" t="s">
        <v>1561</v>
      </c>
      <c r="B1532" s="2">
        <v>45223</v>
      </c>
      <c r="C1532" t="s">
        <v>15</v>
      </c>
      <c r="D1532" t="s">
        <v>20</v>
      </c>
      <c r="E1532" t="s">
        <v>11</v>
      </c>
      <c r="F1532" t="s">
        <v>44</v>
      </c>
      <c r="G1532">
        <v>38392</v>
      </c>
      <c r="H1532">
        <v>7</v>
      </c>
      <c r="I1532">
        <v>1</v>
      </c>
      <c r="J1532" t="s">
        <v>22</v>
      </c>
      <c r="K1532" s="4">
        <f>Table1[[#This Row],[Sales]]*Table1[[#This Row],[Quantity]]</f>
        <v>268744</v>
      </c>
      <c r="L1532" s="4">
        <f>Table1[[#This Row],[Revenue]]-(Table1[[#This Row],[Revenue]]*Table1[[#This Row],[Discount]]/100)</f>
        <v>266056.56</v>
      </c>
    </row>
    <row r="1533" spans="1:12" x14ac:dyDescent="0.55000000000000004">
      <c r="A1533" t="s">
        <v>1562</v>
      </c>
      <c r="B1533" s="2">
        <v>45224</v>
      </c>
      <c r="C1533" t="s">
        <v>19</v>
      </c>
      <c r="D1533" t="s">
        <v>20</v>
      </c>
      <c r="E1533" t="s">
        <v>17</v>
      </c>
      <c r="F1533" t="s">
        <v>21</v>
      </c>
      <c r="G1533">
        <v>36099</v>
      </c>
      <c r="H1533">
        <v>8</v>
      </c>
      <c r="I1533">
        <v>13</v>
      </c>
      <c r="J1533" t="s">
        <v>13</v>
      </c>
      <c r="K1533" s="4">
        <f>Table1[[#This Row],[Sales]]*Table1[[#This Row],[Quantity]]</f>
        <v>288792</v>
      </c>
      <c r="L1533" s="4">
        <f>Table1[[#This Row],[Revenue]]-(Table1[[#This Row],[Revenue]]*Table1[[#This Row],[Discount]]/100)</f>
        <v>251249.04</v>
      </c>
    </row>
    <row r="1534" spans="1:12" x14ac:dyDescent="0.55000000000000004">
      <c r="A1534" t="s">
        <v>1563</v>
      </c>
      <c r="B1534" s="2">
        <v>45090</v>
      </c>
      <c r="C1534" t="s">
        <v>19</v>
      </c>
      <c r="D1534" t="s">
        <v>37</v>
      </c>
      <c r="E1534" t="s">
        <v>17</v>
      </c>
      <c r="F1534" t="s">
        <v>44</v>
      </c>
      <c r="G1534">
        <v>33467</v>
      </c>
      <c r="H1534">
        <v>3</v>
      </c>
      <c r="I1534">
        <v>24</v>
      </c>
      <c r="J1534" t="s">
        <v>13</v>
      </c>
      <c r="K1534" s="4">
        <f>Table1[[#This Row],[Sales]]*Table1[[#This Row],[Quantity]]</f>
        <v>100401</v>
      </c>
      <c r="L1534" s="4">
        <f>Table1[[#This Row],[Revenue]]-(Table1[[#This Row],[Revenue]]*Table1[[#This Row],[Discount]]/100)</f>
        <v>76304.759999999995</v>
      </c>
    </row>
    <row r="1535" spans="1:12" x14ac:dyDescent="0.55000000000000004">
      <c r="A1535" t="s">
        <v>1564</v>
      </c>
      <c r="B1535" s="2">
        <v>45159</v>
      </c>
      <c r="C1535" t="s">
        <v>19</v>
      </c>
      <c r="D1535" t="s">
        <v>16</v>
      </c>
      <c r="E1535" t="s">
        <v>11</v>
      </c>
      <c r="F1535" t="s">
        <v>34</v>
      </c>
      <c r="G1535">
        <v>33951</v>
      </c>
      <c r="H1535">
        <v>9</v>
      </c>
      <c r="I1535">
        <v>4</v>
      </c>
      <c r="J1535" t="s">
        <v>25</v>
      </c>
      <c r="K1535" s="4">
        <f>Table1[[#This Row],[Sales]]*Table1[[#This Row],[Quantity]]</f>
        <v>305559</v>
      </c>
      <c r="L1535" s="4">
        <f>Table1[[#This Row],[Revenue]]-(Table1[[#This Row],[Revenue]]*Table1[[#This Row],[Discount]]/100)</f>
        <v>293336.64</v>
      </c>
    </row>
    <row r="1536" spans="1:12" x14ac:dyDescent="0.55000000000000004">
      <c r="A1536" t="s">
        <v>1565</v>
      </c>
      <c r="B1536" s="2">
        <v>45039</v>
      </c>
      <c r="C1536" t="s">
        <v>19</v>
      </c>
      <c r="D1536" t="s">
        <v>20</v>
      </c>
      <c r="E1536" t="s">
        <v>17</v>
      </c>
      <c r="F1536" t="s">
        <v>48</v>
      </c>
      <c r="G1536">
        <v>11024</v>
      </c>
      <c r="H1536">
        <v>6</v>
      </c>
      <c r="I1536">
        <v>29</v>
      </c>
      <c r="J1536" t="s">
        <v>25</v>
      </c>
      <c r="K1536" s="4">
        <f>Table1[[#This Row],[Sales]]*Table1[[#This Row],[Quantity]]</f>
        <v>66144</v>
      </c>
      <c r="L1536" s="4">
        <f>Table1[[#This Row],[Revenue]]-(Table1[[#This Row],[Revenue]]*Table1[[#This Row],[Discount]]/100)</f>
        <v>46962.240000000005</v>
      </c>
    </row>
    <row r="1537" spans="1:12" x14ac:dyDescent="0.55000000000000004">
      <c r="A1537" t="s">
        <v>1566</v>
      </c>
      <c r="B1537" s="2">
        <v>45024</v>
      </c>
      <c r="C1537" t="s">
        <v>24</v>
      </c>
      <c r="D1537" t="s">
        <v>20</v>
      </c>
      <c r="E1537" t="s">
        <v>17</v>
      </c>
      <c r="F1537" t="s">
        <v>38</v>
      </c>
      <c r="G1537">
        <v>25430</v>
      </c>
      <c r="H1537">
        <v>8</v>
      </c>
      <c r="I1537">
        <v>20</v>
      </c>
      <c r="J1537" t="s">
        <v>22</v>
      </c>
      <c r="K1537" s="4">
        <f>Table1[[#This Row],[Sales]]*Table1[[#This Row],[Quantity]]</f>
        <v>203440</v>
      </c>
      <c r="L1537" s="4">
        <f>Table1[[#This Row],[Revenue]]-(Table1[[#This Row],[Revenue]]*Table1[[#This Row],[Discount]]/100)</f>
        <v>162752</v>
      </c>
    </row>
    <row r="1538" spans="1:12" x14ac:dyDescent="0.55000000000000004">
      <c r="A1538" t="s">
        <v>1567</v>
      </c>
      <c r="B1538" s="2">
        <v>44930</v>
      </c>
      <c r="C1538" t="s">
        <v>31</v>
      </c>
      <c r="D1538" t="s">
        <v>20</v>
      </c>
      <c r="E1538" t="s">
        <v>11</v>
      </c>
      <c r="F1538" t="s">
        <v>29</v>
      </c>
      <c r="G1538">
        <v>9750</v>
      </c>
      <c r="H1538">
        <v>4</v>
      </c>
      <c r="I1538">
        <v>11</v>
      </c>
      <c r="J1538" t="s">
        <v>22</v>
      </c>
      <c r="K1538" s="4">
        <f>Table1[[#This Row],[Sales]]*Table1[[#This Row],[Quantity]]</f>
        <v>39000</v>
      </c>
      <c r="L1538" s="4">
        <f>Table1[[#This Row],[Revenue]]-(Table1[[#This Row],[Revenue]]*Table1[[#This Row],[Discount]]/100)</f>
        <v>34710</v>
      </c>
    </row>
    <row r="1539" spans="1:12" x14ac:dyDescent="0.55000000000000004">
      <c r="A1539" t="s">
        <v>1568</v>
      </c>
      <c r="B1539" s="2">
        <v>45240</v>
      </c>
      <c r="C1539" t="s">
        <v>19</v>
      </c>
      <c r="D1539" t="s">
        <v>20</v>
      </c>
      <c r="E1539" t="s">
        <v>11</v>
      </c>
      <c r="F1539" t="s">
        <v>38</v>
      </c>
      <c r="G1539">
        <v>39883</v>
      </c>
      <c r="H1539">
        <v>2</v>
      </c>
      <c r="I1539">
        <v>3</v>
      </c>
      <c r="J1539" t="s">
        <v>13</v>
      </c>
      <c r="K1539" s="4">
        <f>Table1[[#This Row],[Sales]]*Table1[[#This Row],[Quantity]]</f>
        <v>79766</v>
      </c>
      <c r="L1539" s="4">
        <f>Table1[[#This Row],[Revenue]]-(Table1[[#This Row],[Revenue]]*Table1[[#This Row],[Discount]]/100)</f>
        <v>77373.02</v>
      </c>
    </row>
    <row r="1540" spans="1:12" x14ac:dyDescent="0.55000000000000004">
      <c r="A1540" t="s">
        <v>1569</v>
      </c>
      <c r="B1540" s="2">
        <v>45156</v>
      </c>
      <c r="C1540" t="s">
        <v>31</v>
      </c>
      <c r="D1540" t="s">
        <v>16</v>
      </c>
      <c r="E1540" t="s">
        <v>11</v>
      </c>
      <c r="F1540" t="s">
        <v>29</v>
      </c>
      <c r="G1540">
        <v>48812</v>
      </c>
      <c r="H1540">
        <v>10</v>
      </c>
      <c r="I1540">
        <v>13</v>
      </c>
      <c r="J1540" t="s">
        <v>22</v>
      </c>
      <c r="K1540" s="4">
        <f>Table1[[#This Row],[Sales]]*Table1[[#This Row],[Quantity]]</f>
        <v>488120</v>
      </c>
      <c r="L1540" s="4">
        <f>Table1[[#This Row],[Revenue]]-(Table1[[#This Row],[Revenue]]*Table1[[#This Row],[Discount]]/100)</f>
        <v>424664.4</v>
      </c>
    </row>
    <row r="1541" spans="1:12" x14ac:dyDescent="0.55000000000000004">
      <c r="A1541" t="s">
        <v>1570</v>
      </c>
      <c r="B1541" s="2">
        <v>45177</v>
      </c>
      <c r="C1541" t="s">
        <v>24</v>
      </c>
      <c r="D1541" t="s">
        <v>27</v>
      </c>
      <c r="E1541" t="s">
        <v>17</v>
      </c>
      <c r="F1541" t="s">
        <v>34</v>
      </c>
      <c r="G1541">
        <v>35060</v>
      </c>
      <c r="H1541">
        <v>2</v>
      </c>
      <c r="I1541">
        <v>13</v>
      </c>
      <c r="J1541" t="s">
        <v>25</v>
      </c>
      <c r="K1541" s="4">
        <f>Table1[[#This Row],[Sales]]*Table1[[#This Row],[Quantity]]</f>
        <v>70120</v>
      </c>
      <c r="L1541" s="4">
        <f>Table1[[#This Row],[Revenue]]-(Table1[[#This Row],[Revenue]]*Table1[[#This Row],[Discount]]/100)</f>
        <v>61004.4</v>
      </c>
    </row>
    <row r="1542" spans="1:12" x14ac:dyDescent="0.55000000000000004">
      <c r="A1542" t="s">
        <v>1571</v>
      </c>
      <c r="B1542" s="2">
        <v>45291</v>
      </c>
      <c r="C1542" t="s">
        <v>31</v>
      </c>
      <c r="D1542" t="s">
        <v>27</v>
      </c>
      <c r="E1542" t="s">
        <v>11</v>
      </c>
      <c r="F1542" t="s">
        <v>44</v>
      </c>
      <c r="G1542">
        <v>28985</v>
      </c>
      <c r="H1542">
        <v>6</v>
      </c>
      <c r="I1542">
        <v>17</v>
      </c>
      <c r="J1542" t="s">
        <v>22</v>
      </c>
      <c r="K1542" s="4">
        <f>Table1[[#This Row],[Sales]]*Table1[[#This Row],[Quantity]]</f>
        <v>173910</v>
      </c>
      <c r="L1542" s="4">
        <f>Table1[[#This Row],[Revenue]]-(Table1[[#This Row],[Revenue]]*Table1[[#This Row],[Discount]]/100)</f>
        <v>144345.29999999999</v>
      </c>
    </row>
    <row r="1543" spans="1:12" x14ac:dyDescent="0.55000000000000004">
      <c r="A1543" t="s">
        <v>1572</v>
      </c>
      <c r="B1543" s="2">
        <v>45204</v>
      </c>
      <c r="C1543" t="s">
        <v>15</v>
      </c>
      <c r="D1543" t="s">
        <v>46</v>
      </c>
      <c r="E1543" t="s">
        <v>11</v>
      </c>
      <c r="F1543" t="s">
        <v>29</v>
      </c>
      <c r="G1543">
        <v>38509</v>
      </c>
      <c r="H1543">
        <v>4</v>
      </c>
      <c r="I1543">
        <v>0</v>
      </c>
      <c r="J1543" t="s">
        <v>25</v>
      </c>
      <c r="K1543" s="4">
        <f>Table1[[#This Row],[Sales]]*Table1[[#This Row],[Quantity]]</f>
        <v>154036</v>
      </c>
      <c r="L1543" s="4">
        <f>Table1[[#This Row],[Revenue]]-(Table1[[#This Row],[Revenue]]*Table1[[#This Row],[Discount]]/100)</f>
        <v>154036</v>
      </c>
    </row>
    <row r="1544" spans="1:12" x14ac:dyDescent="0.55000000000000004">
      <c r="A1544" t="s">
        <v>1573</v>
      </c>
      <c r="B1544" s="2">
        <v>45262</v>
      </c>
      <c r="C1544" t="s">
        <v>31</v>
      </c>
      <c r="D1544" t="s">
        <v>27</v>
      </c>
      <c r="E1544" t="s">
        <v>11</v>
      </c>
      <c r="F1544" t="s">
        <v>34</v>
      </c>
      <c r="G1544">
        <v>32039</v>
      </c>
      <c r="H1544">
        <v>8</v>
      </c>
      <c r="I1544">
        <v>16</v>
      </c>
      <c r="J1544" t="s">
        <v>22</v>
      </c>
      <c r="K1544" s="4">
        <f>Table1[[#This Row],[Sales]]*Table1[[#This Row],[Quantity]]</f>
        <v>256312</v>
      </c>
      <c r="L1544" s="4">
        <f>Table1[[#This Row],[Revenue]]-(Table1[[#This Row],[Revenue]]*Table1[[#This Row],[Discount]]/100)</f>
        <v>215302.08000000002</v>
      </c>
    </row>
    <row r="1545" spans="1:12" x14ac:dyDescent="0.55000000000000004">
      <c r="A1545" t="s">
        <v>1574</v>
      </c>
      <c r="B1545" s="2">
        <v>45246</v>
      </c>
      <c r="C1545" t="s">
        <v>24</v>
      </c>
      <c r="D1545" t="s">
        <v>27</v>
      </c>
      <c r="E1545" t="s">
        <v>11</v>
      </c>
      <c r="F1545" t="s">
        <v>48</v>
      </c>
      <c r="G1545">
        <v>37209</v>
      </c>
      <c r="H1545">
        <v>2</v>
      </c>
      <c r="I1545">
        <v>5</v>
      </c>
      <c r="J1545" t="s">
        <v>13</v>
      </c>
      <c r="K1545" s="4">
        <f>Table1[[#This Row],[Sales]]*Table1[[#This Row],[Quantity]]</f>
        <v>74418</v>
      </c>
      <c r="L1545" s="4">
        <f>Table1[[#This Row],[Revenue]]-(Table1[[#This Row],[Revenue]]*Table1[[#This Row],[Discount]]/100)</f>
        <v>70697.100000000006</v>
      </c>
    </row>
    <row r="1546" spans="1:12" x14ac:dyDescent="0.55000000000000004">
      <c r="A1546" t="s">
        <v>1575</v>
      </c>
      <c r="B1546" s="2">
        <v>45290</v>
      </c>
      <c r="C1546" t="s">
        <v>15</v>
      </c>
      <c r="D1546" t="s">
        <v>27</v>
      </c>
      <c r="E1546" t="s">
        <v>17</v>
      </c>
      <c r="F1546" t="s">
        <v>48</v>
      </c>
      <c r="G1546">
        <v>42795</v>
      </c>
      <c r="H1546">
        <v>4</v>
      </c>
      <c r="I1546">
        <v>6</v>
      </c>
      <c r="J1546" t="s">
        <v>25</v>
      </c>
      <c r="K1546" s="4">
        <f>Table1[[#This Row],[Sales]]*Table1[[#This Row],[Quantity]]</f>
        <v>171180</v>
      </c>
      <c r="L1546" s="4">
        <f>Table1[[#This Row],[Revenue]]-(Table1[[#This Row],[Revenue]]*Table1[[#This Row],[Discount]]/100)</f>
        <v>160909.20000000001</v>
      </c>
    </row>
    <row r="1547" spans="1:12" x14ac:dyDescent="0.55000000000000004">
      <c r="A1547" t="s">
        <v>1576</v>
      </c>
      <c r="B1547" s="2">
        <v>45098</v>
      </c>
      <c r="C1547" t="s">
        <v>31</v>
      </c>
      <c r="D1547" t="s">
        <v>37</v>
      </c>
      <c r="E1547" t="s">
        <v>17</v>
      </c>
      <c r="F1547" t="s">
        <v>48</v>
      </c>
      <c r="G1547">
        <v>42529</v>
      </c>
      <c r="H1547">
        <v>8</v>
      </c>
      <c r="I1547">
        <v>20</v>
      </c>
      <c r="J1547" t="s">
        <v>22</v>
      </c>
      <c r="K1547" s="4">
        <f>Table1[[#This Row],[Sales]]*Table1[[#This Row],[Quantity]]</f>
        <v>340232</v>
      </c>
      <c r="L1547" s="4">
        <f>Table1[[#This Row],[Revenue]]-(Table1[[#This Row],[Revenue]]*Table1[[#This Row],[Discount]]/100)</f>
        <v>272185.59999999998</v>
      </c>
    </row>
    <row r="1548" spans="1:12" x14ac:dyDescent="0.55000000000000004">
      <c r="A1548" t="s">
        <v>1577</v>
      </c>
      <c r="B1548" s="2">
        <v>45079</v>
      </c>
      <c r="C1548" t="s">
        <v>24</v>
      </c>
      <c r="D1548" t="s">
        <v>27</v>
      </c>
      <c r="E1548" t="s">
        <v>11</v>
      </c>
      <c r="F1548" t="s">
        <v>44</v>
      </c>
      <c r="G1548">
        <v>8810</v>
      </c>
      <c r="H1548">
        <v>1</v>
      </c>
      <c r="I1548">
        <v>21</v>
      </c>
      <c r="J1548" t="s">
        <v>22</v>
      </c>
      <c r="K1548" s="4">
        <f>Table1[[#This Row],[Sales]]*Table1[[#This Row],[Quantity]]</f>
        <v>8810</v>
      </c>
      <c r="L1548" s="4">
        <f>Table1[[#This Row],[Revenue]]-(Table1[[#This Row],[Revenue]]*Table1[[#This Row],[Discount]]/100)</f>
        <v>6959.9</v>
      </c>
    </row>
    <row r="1549" spans="1:12" x14ac:dyDescent="0.55000000000000004">
      <c r="A1549" t="s">
        <v>1578</v>
      </c>
      <c r="B1549" s="2">
        <v>45056</v>
      </c>
      <c r="C1549" t="s">
        <v>19</v>
      </c>
      <c r="D1549" t="s">
        <v>16</v>
      </c>
      <c r="E1549" t="s">
        <v>11</v>
      </c>
      <c r="F1549" t="s">
        <v>21</v>
      </c>
      <c r="G1549">
        <v>23832</v>
      </c>
      <c r="H1549">
        <v>2</v>
      </c>
      <c r="I1549">
        <v>7</v>
      </c>
      <c r="J1549" t="s">
        <v>25</v>
      </c>
      <c r="K1549" s="4">
        <f>Table1[[#This Row],[Sales]]*Table1[[#This Row],[Quantity]]</f>
        <v>47664</v>
      </c>
      <c r="L1549" s="4">
        <f>Table1[[#This Row],[Revenue]]-(Table1[[#This Row],[Revenue]]*Table1[[#This Row],[Discount]]/100)</f>
        <v>44327.519999999997</v>
      </c>
    </row>
    <row r="1550" spans="1:12" x14ac:dyDescent="0.55000000000000004">
      <c r="A1550" t="s">
        <v>1579</v>
      </c>
      <c r="B1550" s="2">
        <v>44950</v>
      </c>
      <c r="C1550" t="s">
        <v>15</v>
      </c>
      <c r="D1550" t="s">
        <v>16</v>
      </c>
      <c r="E1550" t="s">
        <v>11</v>
      </c>
      <c r="F1550" t="s">
        <v>44</v>
      </c>
      <c r="G1550">
        <v>13988</v>
      </c>
      <c r="H1550">
        <v>9</v>
      </c>
      <c r="I1550">
        <v>25</v>
      </c>
      <c r="J1550" t="s">
        <v>13</v>
      </c>
      <c r="K1550" s="4">
        <f>Table1[[#This Row],[Sales]]*Table1[[#This Row],[Quantity]]</f>
        <v>125892</v>
      </c>
      <c r="L1550" s="4">
        <f>Table1[[#This Row],[Revenue]]-(Table1[[#This Row],[Revenue]]*Table1[[#This Row],[Discount]]/100)</f>
        <v>94419</v>
      </c>
    </row>
    <row r="1551" spans="1:12" x14ac:dyDescent="0.55000000000000004">
      <c r="A1551" t="s">
        <v>1580</v>
      </c>
      <c r="B1551" s="2">
        <v>45065</v>
      </c>
      <c r="C1551" t="s">
        <v>31</v>
      </c>
      <c r="D1551" t="s">
        <v>20</v>
      </c>
      <c r="E1551" t="s">
        <v>17</v>
      </c>
      <c r="F1551" t="s">
        <v>44</v>
      </c>
      <c r="G1551">
        <v>47201</v>
      </c>
      <c r="H1551">
        <v>1</v>
      </c>
      <c r="I1551">
        <v>11</v>
      </c>
      <c r="J1551" t="s">
        <v>22</v>
      </c>
      <c r="K1551" s="4">
        <f>Table1[[#This Row],[Sales]]*Table1[[#This Row],[Quantity]]</f>
        <v>47201</v>
      </c>
      <c r="L1551" s="4">
        <f>Table1[[#This Row],[Revenue]]-(Table1[[#This Row],[Revenue]]*Table1[[#This Row],[Discount]]/100)</f>
        <v>42008.89</v>
      </c>
    </row>
    <row r="1552" spans="1:12" x14ac:dyDescent="0.55000000000000004">
      <c r="A1552" t="s">
        <v>1581</v>
      </c>
      <c r="B1552" s="2">
        <v>45201</v>
      </c>
      <c r="C1552" t="s">
        <v>19</v>
      </c>
      <c r="D1552" t="s">
        <v>37</v>
      </c>
      <c r="E1552" t="s">
        <v>17</v>
      </c>
      <c r="F1552" t="s">
        <v>44</v>
      </c>
      <c r="G1552">
        <v>21333</v>
      </c>
      <c r="H1552">
        <v>1</v>
      </c>
      <c r="I1552">
        <v>17</v>
      </c>
      <c r="J1552" t="s">
        <v>25</v>
      </c>
      <c r="K1552" s="4">
        <f>Table1[[#This Row],[Sales]]*Table1[[#This Row],[Quantity]]</f>
        <v>21333</v>
      </c>
      <c r="L1552" s="4">
        <f>Table1[[#This Row],[Revenue]]-(Table1[[#This Row],[Revenue]]*Table1[[#This Row],[Discount]]/100)</f>
        <v>17706.39</v>
      </c>
    </row>
    <row r="1553" spans="1:12" x14ac:dyDescent="0.55000000000000004">
      <c r="A1553" t="s">
        <v>1582</v>
      </c>
      <c r="B1553" s="2">
        <v>45068</v>
      </c>
      <c r="C1553" t="s">
        <v>24</v>
      </c>
      <c r="D1553" t="s">
        <v>27</v>
      </c>
      <c r="E1553" t="s">
        <v>17</v>
      </c>
      <c r="F1553" t="s">
        <v>44</v>
      </c>
      <c r="G1553">
        <v>6185</v>
      </c>
      <c r="H1553">
        <v>9</v>
      </c>
      <c r="I1553">
        <v>21</v>
      </c>
      <c r="J1553" t="s">
        <v>13</v>
      </c>
      <c r="K1553" s="4">
        <f>Table1[[#This Row],[Sales]]*Table1[[#This Row],[Quantity]]</f>
        <v>55665</v>
      </c>
      <c r="L1553" s="4">
        <f>Table1[[#This Row],[Revenue]]-(Table1[[#This Row],[Revenue]]*Table1[[#This Row],[Discount]]/100)</f>
        <v>43975.35</v>
      </c>
    </row>
    <row r="1554" spans="1:12" x14ac:dyDescent="0.55000000000000004">
      <c r="A1554" t="s">
        <v>1583</v>
      </c>
      <c r="B1554" s="2">
        <v>45253</v>
      </c>
      <c r="C1554" t="s">
        <v>31</v>
      </c>
      <c r="D1554" t="s">
        <v>37</v>
      </c>
      <c r="E1554" t="s">
        <v>17</v>
      </c>
      <c r="F1554" t="s">
        <v>21</v>
      </c>
      <c r="G1554">
        <v>28586</v>
      </c>
      <c r="H1554">
        <v>10</v>
      </c>
      <c r="I1554">
        <v>26</v>
      </c>
      <c r="J1554" t="s">
        <v>13</v>
      </c>
      <c r="K1554" s="4">
        <f>Table1[[#This Row],[Sales]]*Table1[[#This Row],[Quantity]]</f>
        <v>285860</v>
      </c>
      <c r="L1554" s="4">
        <f>Table1[[#This Row],[Revenue]]-(Table1[[#This Row],[Revenue]]*Table1[[#This Row],[Discount]]/100)</f>
        <v>211536.4</v>
      </c>
    </row>
    <row r="1555" spans="1:12" x14ac:dyDescent="0.55000000000000004">
      <c r="A1555" t="s">
        <v>1584</v>
      </c>
      <c r="B1555" s="2">
        <v>45180</v>
      </c>
      <c r="C1555" t="s">
        <v>15</v>
      </c>
      <c r="D1555" t="s">
        <v>37</v>
      </c>
      <c r="E1555" t="s">
        <v>17</v>
      </c>
      <c r="F1555" t="s">
        <v>38</v>
      </c>
      <c r="G1555">
        <v>1328</v>
      </c>
      <c r="H1555">
        <v>1</v>
      </c>
      <c r="I1555">
        <v>11</v>
      </c>
      <c r="J1555" t="s">
        <v>13</v>
      </c>
      <c r="K1555" s="4">
        <f>Table1[[#This Row],[Sales]]*Table1[[#This Row],[Quantity]]</f>
        <v>1328</v>
      </c>
      <c r="L1555" s="4">
        <f>Table1[[#This Row],[Revenue]]-(Table1[[#This Row],[Revenue]]*Table1[[#This Row],[Discount]]/100)</f>
        <v>1181.92</v>
      </c>
    </row>
    <row r="1556" spans="1:12" x14ac:dyDescent="0.55000000000000004">
      <c r="A1556" t="s">
        <v>1585</v>
      </c>
      <c r="B1556" s="2">
        <v>45043</v>
      </c>
      <c r="C1556" t="s">
        <v>31</v>
      </c>
      <c r="D1556" t="s">
        <v>37</v>
      </c>
      <c r="E1556" t="s">
        <v>17</v>
      </c>
      <c r="F1556" t="s">
        <v>48</v>
      </c>
      <c r="G1556">
        <v>31123</v>
      </c>
      <c r="H1556">
        <v>1</v>
      </c>
      <c r="I1556">
        <v>6</v>
      </c>
      <c r="J1556" t="s">
        <v>13</v>
      </c>
      <c r="K1556" s="4">
        <f>Table1[[#This Row],[Sales]]*Table1[[#This Row],[Quantity]]</f>
        <v>31123</v>
      </c>
      <c r="L1556" s="4">
        <f>Table1[[#This Row],[Revenue]]-(Table1[[#This Row],[Revenue]]*Table1[[#This Row],[Discount]]/100)</f>
        <v>29255.62</v>
      </c>
    </row>
    <row r="1557" spans="1:12" x14ac:dyDescent="0.55000000000000004">
      <c r="A1557" t="s">
        <v>1586</v>
      </c>
      <c r="B1557" s="2">
        <v>45157</v>
      </c>
      <c r="C1557" t="s">
        <v>24</v>
      </c>
      <c r="D1557" t="s">
        <v>46</v>
      </c>
      <c r="E1557" t="s">
        <v>17</v>
      </c>
      <c r="F1557" t="s">
        <v>44</v>
      </c>
      <c r="G1557">
        <v>20023</v>
      </c>
      <c r="H1557">
        <v>1</v>
      </c>
      <c r="I1557">
        <v>20</v>
      </c>
      <c r="J1557" t="s">
        <v>25</v>
      </c>
      <c r="K1557" s="4">
        <f>Table1[[#This Row],[Sales]]*Table1[[#This Row],[Quantity]]</f>
        <v>20023</v>
      </c>
      <c r="L1557" s="4">
        <f>Table1[[#This Row],[Revenue]]-(Table1[[#This Row],[Revenue]]*Table1[[#This Row],[Discount]]/100)</f>
        <v>16018.4</v>
      </c>
    </row>
    <row r="1558" spans="1:12" x14ac:dyDescent="0.55000000000000004">
      <c r="A1558" t="s">
        <v>1587</v>
      </c>
      <c r="B1558" s="2">
        <v>44998</v>
      </c>
      <c r="C1558" t="s">
        <v>15</v>
      </c>
      <c r="D1558" t="s">
        <v>16</v>
      </c>
      <c r="E1558" t="s">
        <v>11</v>
      </c>
      <c r="F1558" t="s">
        <v>48</v>
      </c>
      <c r="G1558">
        <v>21524</v>
      </c>
      <c r="H1558">
        <v>4</v>
      </c>
      <c r="I1558">
        <v>11</v>
      </c>
      <c r="J1558" t="s">
        <v>22</v>
      </c>
      <c r="K1558" s="4">
        <f>Table1[[#This Row],[Sales]]*Table1[[#This Row],[Quantity]]</f>
        <v>86096</v>
      </c>
      <c r="L1558" s="4">
        <f>Table1[[#This Row],[Revenue]]-(Table1[[#This Row],[Revenue]]*Table1[[#This Row],[Discount]]/100)</f>
        <v>76625.440000000002</v>
      </c>
    </row>
    <row r="1559" spans="1:12" x14ac:dyDescent="0.55000000000000004">
      <c r="A1559" t="s">
        <v>1588</v>
      </c>
      <c r="B1559" s="2">
        <v>45190</v>
      </c>
      <c r="C1559" t="s">
        <v>15</v>
      </c>
      <c r="D1559" t="s">
        <v>37</v>
      </c>
      <c r="E1559" t="s">
        <v>11</v>
      </c>
      <c r="F1559" t="s">
        <v>48</v>
      </c>
      <c r="G1559">
        <v>9903</v>
      </c>
      <c r="H1559">
        <v>3</v>
      </c>
      <c r="I1559">
        <v>10</v>
      </c>
      <c r="J1559" t="s">
        <v>13</v>
      </c>
      <c r="K1559" s="4">
        <f>Table1[[#This Row],[Sales]]*Table1[[#This Row],[Quantity]]</f>
        <v>29709</v>
      </c>
      <c r="L1559" s="4">
        <f>Table1[[#This Row],[Revenue]]-(Table1[[#This Row],[Revenue]]*Table1[[#This Row],[Discount]]/100)</f>
        <v>26738.1</v>
      </c>
    </row>
    <row r="1560" spans="1:12" x14ac:dyDescent="0.55000000000000004">
      <c r="A1560" t="s">
        <v>1589</v>
      </c>
      <c r="B1560" s="2">
        <v>45049</v>
      </c>
      <c r="C1560" t="s">
        <v>31</v>
      </c>
      <c r="D1560" t="s">
        <v>16</v>
      </c>
      <c r="E1560" t="s">
        <v>17</v>
      </c>
      <c r="F1560" t="s">
        <v>34</v>
      </c>
      <c r="G1560">
        <v>7946</v>
      </c>
      <c r="H1560">
        <v>5</v>
      </c>
      <c r="I1560">
        <v>25</v>
      </c>
      <c r="J1560" t="s">
        <v>22</v>
      </c>
      <c r="K1560" s="4">
        <f>Table1[[#This Row],[Sales]]*Table1[[#This Row],[Quantity]]</f>
        <v>39730</v>
      </c>
      <c r="L1560" s="4">
        <f>Table1[[#This Row],[Revenue]]-(Table1[[#This Row],[Revenue]]*Table1[[#This Row],[Discount]]/100)</f>
        <v>29797.5</v>
      </c>
    </row>
    <row r="1561" spans="1:12" x14ac:dyDescent="0.55000000000000004">
      <c r="A1561" t="s">
        <v>1590</v>
      </c>
      <c r="B1561" s="2">
        <v>45292</v>
      </c>
      <c r="C1561" t="s">
        <v>19</v>
      </c>
      <c r="D1561" t="s">
        <v>20</v>
      </c>
      <c r="E1561" t="s">
        <v>11</v>
      </c>
      <c r="F1561" t="s">
        <v>12</v>
      </c>
      <c r="G1561">
        <v>44147</v>
      </c>
      <c r="H1561">
        <v>1</v>
      </c>
      <c r="I1561">
        <v>30</v>
      </c>
      <c r="J1561" t="s">
        <v>13</v>
      </c>
      <c r="K1561" s="4">
        <f>Table1[[#This Row],[Sales]]*Table1[[#This Row],[Quantity]]</f>
        <v>44147</v>
      </c>
      <c r="L1561" s="4">
        <f>Table1[[#This Row],[Revenue]]-(Table1[[#This Row],[Revenue]]*Table1[[#This Row],[Discount]]/100)</f>
        <v>30902.9</v>
      </c>
    </row>
    <row r="1562" spans="1:12" x14ac:dyDescent="0.55000000000000004">
      <c r="A1562" t="s">
        <v>1591</v>
      </c>
      <c r="B1562" s="2">
        <v>45019</v>
      </c>
      <c r="C1562" t="s">
        <v>31</v>
      </c>
      <c r="D1562" t="s">
        <v>20</v>
      </c>
      <c r="E1562" t="s">
        <v>17</v>
      </c>
      <c r="F1562" t="s">
        <v>38</v>
      </c>
      <c r="G1562">
        <v>39298</v>
      </c>
      <c r="H1562">
        <v>6</v>
      </c>
      <c r="I1562">
        <v>21</v>
      </c>
      <c r="J1562" t="s">
        <v>22</v>
      </c>
      <c r="K1562" s="4">
        <f>Table1[[#This Row],[Sales]]*Table1[[#This Row],[Quantity]]</f>
        <v>235788</v>
      </c>
      <c r="L1562" s="4">
        <f>Table1[[#This Row],[Revenue]]-(Table1[[#This Row],[Revenue]]*Table1[[#This Row],[Discount]]/100)</f>
        <v>186272.52</v>
      </c>
    </row>
    <row r="1563" spans="1:12" x14ac:dyDescent="0.55000000000000004">
      <c r="A1563" t="s">
        <v>1592</v>
      </c>
      <c r="B1563" s="2">
        <v>45140</v>
      </c>
      <c r="C1563" t="s">
        <v>31</v>
      </c>
      <c r="D1563" t="s">
        <v>27</v>
      </c>
      <c r="E1563" t="s">
        <v>17</v>
      </c>
      <c r="F1563" t="s">
        <v>44</v>
      </c>
      <c r="G1563">
        <v>43994</v>
      </c>
      <c r="H1563">
        <v>3</v>
      </c>
      <c r="I1563">
        <v>30</v>
      </c>
      <c r="J1563" t="s">
        <v>13</v>
      </c>
      <c r="K1563" s="4">
        <f>Table1[[#This Row],[Sales]]*Table1[[#This Row],[Quantity]]</f>
        <v>131982</v>
      </c>
      <c r="L1563" s="4">
        <f>Table1[[#This Row],[Revenue]]-(Table1[[#This Row],[Revenue]]*Table1[[#This Row],[Discount]]/100)</f>
        <v>92387.4</v>
      </c>
    </row>
    <row r="1564" spans="1:12" x14ac:dyDescent="0.55000000000000004">
      <c r="A1564" t="s">
        <v>1593</v>
      </c>
      <c r="B1564" s="2">
        <v>45110</v>
      </c>
      <c r="C1564" t="s">
        <v>24</v>
      </c>
      <c r="D1564" t="s">
        <v>37</v>
      </c>
      <c r="E1564" t="s">
        <v>17</v>
      </c>
      <c r="F1564" t="s">
        <v>12</v>
      </c>
      <c r="G1564">
        <v>25188</v>
      </c>
      <c r="H1564">
        <v>9</v>
      </c>
      <c r="I1564">
        <v>16</v>
      </c>
      <c r="J1564" t="s">
        <v>22</v>
      </c>
      <c r="K1564" s="4">
        <f>Table1[[#This Row],[Sales]]*Table1[[#This Row],[Quantity]]</f>
        <v>226692</v>
      </c>
      <c r="L1564" s="4">
        <f>Table1[[#This Row],[Revenue]]-(Table1[[#This Row],[Revenue]]*Table1[[#This Row],[Discount]]/100)</f>
        <v>190421.28</v>
      </c>
    </row>
    <row r="1565" spans="1:12" x14ac:dyDescent="0.55000000000000004">
      <c r="A1565" t="s">
        <v>1594</v>
      </c>
      <c r="B1565" s="2">
        <v>45080</v>
      </c>
      <c r="C1565" t="s">
        <v>15</v>
      </c>
      <c r="D1565" t="s">
        <v>20</v>
      </c>
      <c r="E1565" t="s">
        <v>11</v>
      </c>
      <c r="F1565" t="s">
        <v>29</v>
      </c>
      <c r="G1565">
        <v>33647</v>
      </c>
      <c r="H1565">
        <v>10</v>
      </c>
      <c r="I1565">
        <v>15</v>
      </c>
      <c r="J1565" t="s">
        <v>13</v>
      </c>
      <c r="K1565" s="4">
        <f>Table1[[#This Row],[Sales]]*Table1[[#This Row],[Quantity]]</f>
        <v>336470</v>
      </c>
      <c r="L1565" s="4">
        <f>Table1[[#This Row],[Revenue]]-(Table1[[#This Row],[Revenue]]*Table1[[#This Row],[Discount]]/100)</f>
        <v>285999.5</v>
      </c>
    </row>
    <row r="1566" spans="1:12" x14ac:dyDescent="0.55000000000000004">
      <c r="A1566" t="s">
        <v>1595</v>
      </c>
      <c r="B1566" s="2">
        <v>45044</v>
      </c>
      <c r="C1566" t="s">
        <v>31</v>
      </c>
      <c r="D1566" t="s">
        <v>27</v>
      </c>
      <c r="E1566" t="s">
        <v>11</v>
      </c>
      <c r="F1566" t="s">
        <v>12</v>
      </c>
      <c r="G1566">
        <v>34024</v>
      </c>
      <c r="H1566">
        <v>5</v>
      </c>
      <c r="I1566">
        <v>3</v>
      </c>
      <c r="J1566" t="s">
        <v>13</v>
      </c>
      <c r="K1566" s="4">
        <f>Table1[[#This Row],[Sales]]*Table1[[#This Row],[Quantity]]</f>
        <v>170120</v>
      </c>
      <c r="L1566" s="4">
        <f>Table1[[#This Row],[Revenue]]-(Table1[[#This Row],[Revenue]]*Table1[[#This Row],[Discount]]/100)</f>
        <v>165016.4</v>
      </c>
    </row>
    <row r="1567" spans="1:12" x14ac:dyDescent="0.55000000000000004">
      <c r="A1567" t="s">
        <v>1596</v>
      </c>
      <c r="B1567" s="2">
        <v>44978</v>
      </c>
      <c r="C1567" t="s">
        <v>15</v>
      </c>
      <c r="D1567" t="s">
        <v>46</v>
      </c>
      <c r="E1567" t="s">
        <v>11</v>
      </c>
      <c r="F1567" t="s">
        <v>38</v>
      </c>
      <c r="G1567">
        <v>14833</v>
      </c>
      <c r="H1567">
        <v>3</v>
      </c>
      <c r="I1567">
        <v>27</v>
      </c>
      <c r="J1567" t="s">
        <v>22</v>
      </c>
      <c r="K1567" s="4">
        <f>Table1[[#This Row],[Sales]]*Table1[[#This Row],[Quantity]]</f>
        <v>44499</v>
      </c>
      <c r="L1567" s="4">
        <f>Table1[[#This Row],[Revenue]]-(Table1[[#This Row],[Revenue]]*Table1[[#This Row],[Discount]]/100)</f>
        <v>32484.27</v>
      </c>
    </row>
    <row r="1568" spans="1:12" x14ac:dyDescent="0.55000000000000004">
      <c r="A1568" t="s">
        <v>1597</v>
      </c>
      <c r="B1568" s="2">
        <v>45035</v>
      </c>
      <c r="C1568" t="s">
        <v>31</v>
      </c>
      <c r="D1568" t="s">
        <v>16</v>
      </c>
      <c r="E1568" t="s">
        <v>17</v>
      </c>
      <c r="F1568" t="s">
        <v>21</v>
      </c>
      <c r="G1568">
        <v>8521</v>
      </c>
      <c r="H1568">
        <v>7</v>
      </c>
      <c r="I1568">
        <v>1</v>
      </c>
      <c r="J1568" t="s">
        <v>25</v>
      </c>
      <c r="K1568" s="4">
        <f>Table1[[#This Row],[Sales]]*Table1[[#This Row],[Quantity]]</f>
        <v>59647</v>
      </c>
      <c r="L1568" s="4">
        <f>Table1[[#This Row],[Revenue]]-(Table1[[#This Row],[Revenue]]*Table1[[#This Row],[Discount]]/100)</f>
        <v>59050.53</v>
      </c>
    </row>
    <row r="1569" spans="1:12" x14ac:dyDescent="0.55000000000000004">
      <c r="A1569" t="s">
        <v>1598</v>
      </c>
      <c r="B1569" s="2">
        <v>44975</v>
      </c>
      <c r="C1569" t="s">
        <v>15</v>
      </c>
      <c r="D1569" t="s">
        <v>37</v>
      </c>
      <c r="E1569" t="s">
        <v>11</v>
      </c>
      <c r="F1569" t="s">
        <v>12</v>
      </c>
      <c r="G1569">
        <v>34224</v>
      </c>
      <c r="H1569">
        <v>3</v>
      </c>
      <c r="I1569">
        <v>8</v>
      </c>
      <c r="J1569" t="s">
        <v>25</v>
      </c>
      <c r="K1569" s="4">
        <f>Table1[[#This Row],[Sales]]*Table1[[#This Row],[Quantity]]</f>
        <v>102672</v>
      </c>
      <c r="L1569" s="4">
        <f>Table1[[#This Row],[Revenue]]-(Table1[[#This Row],[Revenue]]*Table1[[#This Row],[Discount]]/100)</f>
        <v>94458.240000000005</v>
      </c>
    </row>
    <row r="1570" spans="1:12" x14ac:dyDescent="0.55000000000000004">
      <c r="A1570" t="s">
        <v>1599</v>
      </c>
      <c r="B1570" s="2">
        <v>45148</v>
      </c>
      <c r="C1570" t="s">
        <v>31</v>
      </c>
      <c r="D1570" t="s">
        <v>37</v>
      </c>
      <c r="E1570" t="s">
        <v>17</v>
      </c>
      <c r="F1570" t="s">
        <v>12</v>
      </c>
      <c r="G1570">
        <v>22638</v>
      </c>
      <c r="H1570">
        <v>9</v>
      </c>
      <c r="I1570">
        <v>29</v>
      </c>
      <c r="J1570" t="s">
        <v>22</v>
      </c>
      <c r="K1570" s="4">
        <f>Table1[[#This Row],[Sales]]*Table1[[#This Row],[Quantity]]</f>
        <v>203742</v>
      </c>
      <c r="L1570" s="4">
        <f>Table1[[#This Row],[Revenue]]-(Table1[[#This Row],[Revenue]]*Table1[[#This Row],[Discount]]/100)</f>
        <v>144656.82</v>
      </c>
    </row>
    <row r="1571" spans="1:12" x14ac:dyDescent="0.55000000000000004">
      <c r="A1571" t="s">
        <v>1600</v>
      </c>
      <c r="B1571" s="2">
        <v>45185</v>
      </c>
      <c r="C1571" t="s">
        <v>19</v>
      </c>
      <c r="D1571" t="s">
        <v>37</v>
      </c>
      <c r="E1571" t="s">
        <v>17</v>
      </c>
      <c r="F1571" t="s">
        <v>38</v>
      </c>
      <c r="G1571">
        <v>701</v>
      </c>
      <c r="H1571">
        <v>10</v>
      </c>
      <c r="I1571">
        <v>5</v>
      </c>
      <c r="J1571" t="s">
        <v>25</v>
      </c>
      <c r="K1571" s="4">
        <f>Table1[[#This Row],[Sales]]*Table1[[#This Row],[Quantity]]</f>
        <v>7010</v>
      </c>
      <c r="L1571" s="4">
        <f>Table1[[#This Row],[Revenue]]-(Table1[[#This Row],[Revenue]]*Table1[[#This Row],[Discount]]/100)</f>
        <v>6659.5</v>
      </c>
    </row>
    <row r="1572" spans="1:12" x14ac:dyDescent="0.55000000000000004">
      <c r="A1572" t="s">
        <v>1601</v>
      </c>
      <c r="B1572" s="2">
        <v>45176</v>
      </c>
      <c r="C1572" t="s">
        <v>19</v>
      </c>
      <c r="D1572" t="s">
        <v>20</v>
      </c>
      <c r="E1572" t="s">
        <v>11</v>
      </c>
      <c r="F1572" t="s">
        <v>48</v>
      </c>
      <c r="G1572">
        <v>47101</v>
      </c>
      <c r="H1572">
        <v>2</v>
      </c>
      <c r="I1572">
        <v>22</v>
      </c>
      <c r="J1572" t="s">
        <v>22</v>
      </c>
      <c r="K1572" s="4">
        <f>Table1[[#This Row],[Sales]]*Table1[[#This Row],[Quantity]]</f>
        <v>94202</v>
      </c>
      <c r="L1572" s="4">
        <f>Table1[[#This Row],[Revenue]]-(Table1[[#This Row],[Revenue]]*Table1[[#This Row],[Discount]]/100)</f>
        <v>73477.56</v>
      </c>
    </row>
    <row r="1573" spans="1:12" x14ac:dyDescent="0.55000000000000004">
      <c r="A1573" t="s">
        <v>1602</v>
      </c>
      <c r="B1573" s="2">
        <v>44959</v>
      </c>
      <c r="C1573" t="s">
        <v>31</v>
      </c>
      <c r="D1573" t="s">
        <v>27</v>
      </c>
      <c r="E1573" t="s">
        <v>11</v>
      </c>
      <c r="F1573" t="s">
        <v>38</v>
      </c>
      <c r="G1573">
        <v>24780</v>
      </c>
      <c r="H1573">
        <v>3</v>
      </c>
      <c r="I1573">
        <v>10</v>
      </c>
      <c r="J1573" t="s">
        <v>22</v>
      </c>
      <c r="K1573" s="4">
        <f>Table1[[#This Row],[Sales]]*Table1[[#This Row],[Quantity]]</f>
        <v>74340</v>
      </c>
      <c r="L1573" s="4">
        <f>Table1[[#This Row],[Revenue]]-(Table1[[#This Row],[Revenue]]*Table1[[#This Row],[Discount]]/100)</f>
        <v>66906</v>
      </c>
    </row>
    <row r="1574" spans="1:12" x14ac:dyDescent="0.55000000000000004">
      <c r="A1574" t="s">
        <v>1603</v>
      </c>
      <c r="B1574" s="2">
        <v>44938</v>
      </c>
      <c r="C1574" t="s">
        <v>24</v>
      </c>
      <c r="D1574" t="s">
        <v>16</v>
      </c>
      <c r="E1574" t="s">
        <v>11</v>
      </c>
      <c r="F1574" t="s">
        <v>21</v>
      </c>
      <c r="G1574">
        <v>31868</v>
      </c>
      <c r="H1574">
        <v>3</v>
      </c>
      <c r="I1574">
        <v>1</v>
      </c>
      <c r="J1574" t="s">
        <v>25</v>
      </c>
      <c r="K1574" s="4">
        <f>Table1[[#This Row],[Sales]]*Table1[[#This Row],[Quantity]]</f>
        <v>95604</v>
      </c>
      <c r="L1574" s="4">
        <f>Table1[[#This Row],[Revenue]]-(Table1[[#This Row],[Revenue]]*Table1[[#This Row],[Discount]]/100)</f>
        <v>94647.96</v>
      </c>
    </row>
    <row r="1575" spans="1:12" x14ac:dyDescent="0.55000000000000004">
      <c r="A1575" t="s">
        <v>1604</v>
      </c>
      <c r="B1575" s="2">
        <v>45269</v>
      </c>
      <c r="C1575" t="s">
        <v>31</v>
      </c>
      <c r="D1575" t="s">
        <v>20</v>
      </c>
      <c r="E1575" t="s">
        <v>17</v>
      </c>
      <c r="F1575" t="s">
        <v>29</v>
      </c>
      <c r="G1575">
        <v>18498</v>
      </c>
      <c r="H1575">
        <v>7</v>
      </c>
      <c r="I1575">
        <v>2</v>
      </c>
      <c r="J1575" t="s">
        <v>25</v>
      </c>
      <c r="K1575" s="4">
        <f>Table1[[#This Row],[Sales]]*Table1[[#This Row],[Quantity]]</f>
        <v>129486</v>
      </c>
      <c r="L1575" s="4">
        <f>Table1[[#This Row],[Revenue]]-(Table1[[#This Row],[Revenue]]*Table1[[#This Row],[Discount]]/100)</f>
        <v>126896.28</v>
      </c>
    </row>
    <row r="1576" spans="1:12" x14ac:dyDescent="0.55000000000000004">
      <c r="A1576" t="s">
        <v>1605</v>
      </c>
      <c r="B1576" s="2">
        <v>45027</v>
      </c>
      <c r="C1576" t="s">
        <v>19</v>
      </c>
      <c r="D1576" t="s">
        <v>20</v>
      </c>
      <c r="E1576" t="s">
        <v>11</v>
      </c>
      <c r="F1576" t="s">
        <v>29</v>
      </c>
      <c r="G1576">
        <v>20538</v>
      </c>
      <c r="H1576">
        <v>5</v>
      </c>
      <c r="I1576">
        <v>4</v>
      </c>
      <c r="J1576" t="s">
        <v>25</v>
      </c>
      <c r="K1576" s="4">
        <f>Table1[[#This Row],[Sales]]*Table1[[#This Row],[Quantity]]</f>
        <v>102690</v>
      </c>
      <c r="L1576" s="4">
        <f>Table1[[#This Row],[Revenue]]-(Table1[[#This Row],[Revenue]]*Table1[[#This Row],[Discount]]/100)</f>
        <v>98582.399999999994</v>
      </c>
    </row>
    <row r="1577" spans="1:12" x14ac:dyDescent="0.55000000000000004">
      <c r="A1577" t="s">
        <v>1606</v>
      </c>
      <c r="B1577" s="2">
        <v>45217</v>
      </c>
      <c r="C1577" t="s">
        <v>19</v>
      </c>
      <c r="D1577" t="s">
        <v>37</v>
      </c>
      <c r="E1577" t="s">
        <v>11</v>
      </c>
      <c r="F1577" t="s">
        <v>48</v>
      </c>
      <c r="G1577">
        <v>31617</v>
      </c>
      <c r="H1577">
        <v>6</v>
      </c>
      <c r="I1577">
        <v>26</v>
      </c>
      <c r="J1577" t="s">
        <v>22</v>
      </c>
      <c r="K1577" s="4">
        <f>Table1[[#This Row],[Sales]]*Table1[[#This Row],[Quantity]]</f>
        <v>189702</v>
      </c>
      <c r="L1577" s="4">
        <f>Table1[[#This Row],[Revenue]]-(Table1[[#This Row],[Revenue]]*Table1[[#This Row],[Discount]]/100)</f>
        <v>140379.48000000001</v>
      </c>
    </row>
    <row r="1578" spans="1:12" x14ac:dyDescent="0.55000000000000004">
      <c r="A1578" t="s">
        <v>1607</v>
      </c>
      <c r="B1578" s="2">
        <v>44966</v>
      </c>
      <c r="C1578" t="s">
        <v>31</v>
      </c>
      <c r="D1578" t="s">
        <v>20</v>
      </c>
      <c r="E1578" t="s">
        <v>11</v>
      </c>
      <c r="F1578" t="s">
        <v>29</v>
      </c>
      <c r="G1578">
        <v>47712</v>
      </c>
      <c r="H1578">
        <v>8</v>
      </c>
      <c r="I1578">
        <v>15</v>
      </c>
      <c r="J1578" t="s">
        <v>22</v>
      </c>
      <c r="K1578" s="4">
        <f>Table1[[#This Row],[Sales]]*Table1[[#This Row],[Quantity]]</f>
        <v>381696</v>
      </c>
      <c r="L1578" s="4">
        <f>Table1[[#This Row],[Revenue]]-(Table1[[#This Row],[Revenue]]*Table1[[#This Row],[Discount]]/100)</f>
        <v>324441.59999999998</v>
      </c>
    </row>
    <row r="1579" spans="1:12" x14ac:dyDescent="0.55000000000000004">
      <c r="A1579" t="s">
        <v>1608</v>
      </c>
      <c r="B1579" s="2">
        <v>45192</v>
      </c>
      <c r="C1579" t="s">
        <v>15</v>
      </c>
      <c r="D1579" t="s">
        <v>37</v>
      </c>
      <c r="E1579" t="s">
        <v>11</v>
      </c>
      <c r="F1579" t="s">
        <v>48</v>
      </c>
      <c r="G1579">
        <v>18894</v>
      </c>
      <c r="H1579">
        <v>4</v>
      </c>
      <c r="I1579">
        <v>11</v>
      </c>
      <c r="J1579" t="s">
        <v>13</v>
      </c>
      <c r="K1579" s="4">
        <f>Table1[[#This Row],[Sales]]*Table1[[#This Row],[Quantity]]</f>
        <v>75576</v>
      </c>
      <c r="L1579" s="4">
        <f>Table1[[#This Row],[Revenue]]-(Table1[[#This Row],[Revenue]]*Table1[[#This Row],[Discount]]/100)</f>
        <v>67262.64</v>
      </c>
    </row>
    <row r="1580" spans="1:12" x14ac:dyDescent="0.55000000000000004">
      <c r="A1580" t="s">
        <v>1609</v>
      </c>
      <c r="B1580" s="2">
        <v>44992</v>
      </c>
      <c r="C1580" t="s">
        <v>24</v>
      </c>
      <c r="D1580" t="s">
        <v>20</v>
      </c>
      <c r="E1580" t="s">
        <v>11</v>
      </c>
      <c r="F1580" t="s">
        <v>44</v>
      </c>
      <c r="G1580">
        <v>47751</v>
      </c>
      <c r="H1580">
        <v>2</v>
      </c>
      <c r="I1580">
        <v>18</v>
      </c>
      <c r="J1580" t="s">
        <v>25</v>
      </c>
      <c r="K1580" s="4">
        <f>Table1[[#This Row],[Sales]]*Table1[[#This Row],[Quantity]]</f>
        <v>95502</v>
      </c>
      <c r="L1580" s="4">
        <f>Table1[[#This Row],[Revenue]]-(Table1[[#This Row],[Revenue]]*Table1[[#This Row],[Discount]]/100)</f>
        <v>78311.64</v>
      </c>
    </row>
    <row r="1581" spans="1:12" x14ac:dyDescent="0.55000000000000004">
      <c r="A1581" t="s">
        <v>1610</v>
      </c>
      <c r="B1581" s="2">
        <v>45289</v>
      </c>
      <c r="C1581" t="s">
        <v>19</v>
      </c>
      <c r="D1581" t="s">
        <v>46</v>
      </c>
      <c r="E1581" t="s">
        <v>17</v>
      </c>
      <c r="F1581" t="s">
        <v>44</v>
      </c>
      <c r="G1581">
        <v>10090</v>
      </c>
      <c r="H1581">
        <v>2</v>
      </c>
      <c r="I1581">
        <v>20</v>
      </c>
      <c r="J1581" t="s">
        <v>25</v>
      </c>
      <c r="K1581" s="4">
        <f>Table1[[#This Row],[Sales]]*Table1[[#This Row],[Quantity]]</f>
        <v>20180</v>
      </c>
      <c r="L1581" s="4">
        <f>Table1[[#This Row],[Revenue]]-(Table1[[#This Row],[Revenue]]*Table1[[#This Row],[Discount]]/100)</f>
        <v>16144</v>
      </c>
    </row>
    <row r="1582" spans="1:12" x14ac:dyDescent="0.55000000000000004">
      <c r="A1582" t="s">
        <v>1611</v>
      </c>
      <c r="B1582" s="2">
        <v>44935</v>
      </c>
      <c r="C1582" t="s">
        <v>24</v>
      </c>
      <c r="D1582" t="s">
        <v>20</v>
      </c>
      <c r="E1582" t="s">
        <v>17</v>
      </c>
      <c r="F1582" t="s">
        <v>21</v>
      </c>
      <c r="G1582">
        <v>7952</v>
      </c>
      <c r="H1582">
        <v>7</v>
      </c>
      <c r="I1582">
        <v>8</v>
      </c>
      <c r="J1582" t="s">
        <v>25</v>
      </c>
      <c r="K1582" s="4">
        <f>Table1[[#This Row],[Sales]]*Table1[[#This Row],[Quantity]]</f>
        <v>55664</v>
      </c>
      <c r="L1582" s="4">
        <f>Table1[[#This Row],[Revenue]]-(Table1[[#This Row],[Revenue]]*Table1[[#This Row],[Discount]]/100)</f>
        <v>51210.879999999997</v>
      </c>
    </row>
    <row r="1583" spans="1:12" x14ac:dyDescent="0.55000000000000004">
      <c r="A1583" t="s">
        <v>1612</v>
      </c>
      <c r="B1583" s="2">
        <v>45286</v>
      </c>
      <c r="C1583" t="s">
        <v>24</v>
      </c>
      <c r="D1583" t="s">
        <v>20</v>
      </c>
      <c r="E1583" t="s">
        <v>11</v>
      </c>
      <c r="F1583" t="s">
        <v>29</v>
      </c>
      <c r="G1583">
        <v>8874</v>
      </c>
      <c r="H1583">
        <v>3</v>
      </c>
      <c r="I1583">
        <v>6</v>
      </c>
      <c r="J1583" t="s">
        <v>22</v>
      </c>
      <c r="K1583" s="4">
        <f>Table1[[#This Row],[Sales]]*Table1[[#This Row],[Quantity]]</f>
        <v>26622</v>
      </c>
      <c r="L1583" s="4">
        <f>Table1[[#This Row],[Revenue]]-(Table1[[#This Row],[Revenue]]*Table1[[#This Row],[Discount]]/100)</f>
        <v>25024.68</v>
      </c>
    </row>
    <row r="1584" spans="1:12" x14ac:dyDescent="0.55000000000000004">
      <c r="A1584" t="s">
        <v>1613</v>
      </c>
      <c r="B1584" s="2">
        <v>45204</v>
      </c>
      <c r="C1584" t="s">
        <v>15</v>
      </c>
      <c r="D1584" t="s">
        <v>20</v>
      </c>
      <c r="E1584" t="s">
        <v>11</v>
      </c>
      <c r="F1584" t="s">
        <v>44</v>
      </c>
      <c r="G1584">
        <v>40456</v>
      </c>
      <c r="H1584">
        <v>10</v>
      </c>
      <c r="I1584">
        <v>4</v>
      </c>
      <c r="J1584" t="s">
        <v>22</v>
      </c>
      <c r="K1584" s="4">
        <f>Table1[[#This Row],[Sales]]*Table1[[#This Row],[Quantity]]</f>
        <v>404560</v>
      </c>
      <c r="L1584" s="4">
        <f>Table1[[#This Row],[Revenue]]-(Table1[[#This Row],[Revenue]]*Table1[[#This Row],[Discount]]/100)</f>
        <v>388377.59999999998</v>
      </c>
    </row>
    <row r="1585" spans="1:12" x14ac:dyDescent="0.55000000000000004">
      <c r="A1585" t="s">
        <v>1614</v>
      </c>
      <c r="B1585" s="2">
        <v>45261</v>
      </c>
      <c r="C1585" t="s">
        <v>31</v>
      </c>
      <c r="D1585" t="s">
        <v>27</v>
      </c>
      <c r="E1585" t="s">
        <v>17</v>
      </c>
      <c r="F1585" t="s">
        <v>48</v>
      </c>
      <c r="G1585">
        <v>8293</v>
      </c>
      <c r="H1585">
        <v>4</v>
      </c>
      <c r="I1585">
        <v>7</v>
      </c>
      <c r="J1585" t="s">
        <v>13</v>
      </c>
      <c r="K1585" s="4">
        <f>Table1[[#This Row],[Sales]]*Table1[[#This Row],[Quantity]]</f>
        <v>33172</v>
      </c>
      <c r="L1585" s="4">
        <f>Table1[[#This Row],[Revenue]]-(Table1[[#This Row],[Revenue]]*Table1[[#This Row],[Discount]]/100)</f>
        <v>30849.96</v>
      </c>
    </row>
    <row r="1586" spans="1:12" x14ac:dyDescent="0.55000000000000004">
      <c r="A1586" t="s">
        <v>1615</v>
      </c>
      <c r="B1586" s="2">
        <v>44985</v>
      </c>
      <c r="C1586" t="s">
        <v>15</v>
      </c>
      <c r="D1586" t="s">
        <v>27</v>
      </c>
      <c r="E1586" t="s">
        <v>11</v>
      </c>
      <c r="F1586" t="s">
        <v>21</v>
      </c>
      <c r="G1586">
        <v>20235</v>
      </c>
      <c r="H1586">
        <v>5</v>
      </c>
      <c r="I1586">
        <v>17</v>
      </c>
      <c r="J1586" t="s">
        <v>25</v>
      </c>
      <c r="K1586" s="4">
        <f>Table1[[#This Row],[Sales]]*Table1[[#This Row],[Quantity]]</f>
        <v>101175</v>
      </c>
      <c r="L1586" s="4">
        <f>Table1[[#This Row],[Revenue]]-(Table1[[#This Row],[Revenue]]*Table1[[#This Row],[Discount]]/100)</f>
        <v>83975.25</v>
      </c>
    </row>
    <row r="1587" spans="1:12" x14ac:dyDescent="0.55000000000000004">
      <c r="A1587" t="s">
        <v>1616</v>
      </c>
      <c r="B1587" s="2">
        <v>45214</v>
      </c>
      <c r="C1587" t="s">
        <v>19</v>
      </c>
      <c r="D1587" t="s">
        <v>27</v>
      </c>
      <c r="E1587" t="s">
        <v>17</v>
      </c>
      <c r="F1587" t="s">
        <v>12</v>
      </c>
      <c r="G1587">
        <v>49208</v>
      </c>
      <c r="H1587">
        <v>10</v>
      </c>
      <c r="I1587">
        <v>22</v>
      </c>
      <c r="J1587" t="s">
        <v>25</v>
      </c>
      <c r="K1587" s="4">
        <f>Table1[[#This Row],[Sales]]*Table1[[#This Row],[Quantity]]</f>
        <v>492080</v>
      </c>
      <c r="L1587" s="4">
        <f>Table1[[#This Row],[Revenue]]-(Table1[[#This Row],[Revenue]]*Table1[[#This Row],[Discount]]/100)</f>
        <v>383822.4</v>
      </c>
    </row>
    <row r="1588" spans="1:12" x14ac:dyDescent="0.55000000000000004">
      <c r="A1588" t="s">
        <v>1617</v>
      </c>
      <c r="B1588" s="2">
        <v>45268</v>
      </c>
      <c r="C1588" t="s">
        <v>15</v>
      </c>
      <c r="D1588" t="s">
        <v>20</v>
      </c>
      <c r="E1588" t="s">
        <v>17</v>
      </c>
      <c r="F1588" t="s">
        <v>38</v>
      </c>
      <c r="G1588">
        <v>44434</v>
      </c>
      <c r="H1588">
        <v>9</v>
      </c>
      <c r="I1588">
        <v>11</v>
      </c>
      <c r="J1588" t="s">
        <v>25</v>
      </c>
      <c r="K1588" s="4">
        <f>Table1[[#This Row],[Sales]]*Table1[[#This Row],[Quantity]]</f>
        <v>399906</v>
      </c>
      <c r="L1588" s="4">
        <f>Table1[[#This Row],[Revenue]]-(Table1[[#This Row],[Revenue]]*Table1[[#This Row],[Discount]]/100)</f>
        <v>355916.33999999997</v>
      </c>
    </row>
    <row r="1589" spans="1:12" x14ac:dyDescent="0.55000000000000004">
      <c r="A1589" t="s">
        <v>1618</v>
      </c>
      <c r="B1589" s="2">
        <v>44943</v>
      </c>
      <c r="C1589" t="s">
        <v>31</v>
      </c>
      <c r="D1589" t="s">
        <v>37</v>
      </c>
      <c r="E1589" t="s">
        <v>11</v>
      </c>
      <c r="F1589" t="s">
        <v>21</v>
      </c>
      <c r="G1589">
        <v>30843</v>
      </c>
      <c r="H1589">
        <v>5</v>
      </c>
      <c r="I1589">
        <v>21</v>
      </c>
      <c r="J1589" t="s">
        <v>22</v>
      </c>
      <c r="K1589" s="4">
        <f>Table1[[#This Row],[Sales]]*Table1[[#This Row],[Quantity]]</f>
        <v>154215</v>
      </c>
      <c r="L1589" s="4">
        <f>Table1[[#This Row],[Revenue]]-(Table1[[#This Row],[Revenue]]*Table1[[#This Row],[Discount]]/100)</f>
        <v>121829.85</v>
      </c>
    </row>
    <row r="1590" spans="1:12" x14ac:dyDescent="0.55000000000000004">
      <c r="A1590" t="s">
        <v>1619</v>
      </c>
      <c r="B1590" s="2">
        <v>44945</v>
      </c>
      <c r="C1590" t="s">
        <v>24</v>
      </c>
      <c r="D1590" t="s">
        <v>20</v>
      </c>
      <c r="E1590" t="s">
        <v>11</v>
      </c>
      <c r="F1590" t="s">
        <v>34</v>
      </c>
      <c r="G1590">
        <v>29912</v>
      </c>
      <c r="H1590">
        <v>4</v>
      </c>
      <c r="I1590">
        <v>0</v>
      </c>
      <c r="J1590" t="s">
        <v>13</v>
      </c>
      <c r="K1590" s="4">
        <f>Table1[[#This Row],[Sales]]*Table1[[#This Row],[Quantity]]</f>
        <v>119648</v>
      </c>
      <c r="L1590" s="4">
        <f>Table1[[#This Row],[Revenue]]-(Table1[[#This Row],[Revenue]]*Table1[[#This Row],[Discount]]/100)</f>
        <v>119648</v>
      </c>
    </row>
    <row r="1591" spans="1:12" x14ac:dyDescent="0.55000000000000004">
      <c r="A1591" t="s">
        <v>1620</v>
      </c>
      <c r="B1591" s="2">
        <v>45020</v>
      </c>
      <c r="C1591" t="s">
        <v>31</v>
      </c>
      <c r="D1591" t="s">
        <v>20</v>
      </c>
      <c r="E1591" t="s">
        <v>17</v>
      </c>
      <c r="F1591" t="s">
        <v>29</v>
      </c>
      <c r="G1591">
        <v>40554</v>
      </c>
      <c r="H1591">
        <v>4</v>
      </c>
      <c r="I1591">
        <v>18</v>
      </c>
      <c r="J1591" t="s">
        <v>25</v>
      </c>
      <c r="K1591" s="4">
        <f>Table1[[#This Row],[Sales]]*Table1[[#This Row],[Quantity]]</f>
        <v>162216</v>
      </c>
      <c r="L1591" s="4">
        <f>Table1[[#This Row],[Revenue]]-(Table1[[#This Row],[Revenue]]*Table1[[#This Row],[Discount]]/100)</f>
        <v>133017.12</v>
      </c>
    </row>
    <row r="1592" spans="1:12" x14ac:dyDescent="0.55000000000000004">
      <c r="A1592" t="s">
        <v>1621</v>
      </c>
      <c r="B1592" s="2">
        <v>45276</v>
      </c>
      <c r="C1592" t="s">
        <v>31</v>
      </c>
      <c r="D1592" t="s">
        <v>27</v>
      </c>
      <c r="E1592" t="s">
        <v>17</v>
      </c>
      <c r="F1592" t="s">
        <v>21</v>
      </c>
      <c r="G1592">
        <v>26400</v>
      </c>
      <c r="H1592">
        <v>3</v>
      </c>
      <c r="I1592">
        <v>29</v>
      </c>
      <c r="J1592" t="s">
        <v>25</v>
      </c>
      <c r="K1592" s="4">
        <f>Table1[[#This Row],[Sales]]*Table1[[#This Row],[Quantity]]</f>
        <v>79200</v>
      </c>
      <c r="L1592" s="4">
        <f>Table1[[#This Row],[Revenue]]-(Table1[[#This Row],[Revenue]]*Table1[[#This Row],[Discount]]/100)</f>
        <v>56232</v>
      </c>
    </row>
    <row r="1593" spans="1:12" x14ac:dyDescent="0.55000000000000004">
      <c r="A1593" t="s">
        <v>1622</v>
      </c>
      <c r="B1593" s="2">
        <v>45121</v>
      </c>
      <c r="C1593" t="s">
        <v>15</v>
      </c>
      <c r="D1593" t="s">
        <v>16</v>
      </c>
      <c r="E1593" t="s">
        <v>17</v>
      </c>
      <c r="F1593" t="s">
        <v>48</v>
      </c>
      <c r="G1593">
        <v>40547</v>
      </c>
      <c r="H1593">
        <v>3</v>
      </c>
      <c r="I1593">
        <v>1</v>
      </c>
      <c r="J1593" t="s">
        <v>13</v>
      </c>
      <c r="K1593" s="4">
        <f>Table1[[#This Row],[Sales]]*Table1[[#This Row],[Quantity]]</f>
        <v>121641</v>
      </c>
      <c r="L1593" s="4">
        <f>Table1[[#This Row],[Revenue]]-(Table1[[#This Row],[Revenue]]*Table1[[#This Row],[Discount]]/100)</f>
        <v>120424.59</v>
      </c>
    </row>
    <row r="1594" spans="1:12" x14ac:dyDescent="0.55000000000000004">
      <c r="A1594" t="s">
        <v>1623</v>
      </c>
      <c r="B1594" s="2">
        <v>45051</v>
      </c>
      <c r="C1594" t="s">
        <v>31</v>
      </c>
      <c r="D1594" t="s">
        <v>46</v>
      </c>
      <c r="E1594" t="s">
        <v>11</v>
      </c>
      <c r="F1594" t="s">
        <v>21</v>
      </c>
      <c r="G1594">
        <v>34087</v>
      </c>
      <c r="H1594">
        <v>6</v>
      </c>
      <c r="I1594">
        <v>3</v>
      </c>
      <c r="J1594" t="s">
        <v>13</v>
      </c>
      <c r="K1594" s="4">
        <f>Table1[[#This Row],[Sales]]*Table1[[#This Row],[Quantity]]</f>
        <v>204522</v>
      </c>
      <c r="L1594" s="4">
        <f>Table1[[#This Row],[Revenue]]-(Table1[[#This Row],[Revenue]]*Table1[[#This Row],[Discount]]/100)</f>
        <v>198386.34</v>
      </c>
    </row>
    <row r="1595" spans="1:12" x14ac:dyDescent="0.55000000000000004">
      <c r="A1595" t="s">
        <v>1624</v>
      </c>
      <c r="B1595" s="2">
        <v>45147</v>
      </c>
      <c r="C1595" t="s">
        <v>31</v>
      </c>
      <c r="D1595" t="s">
        <v>37</v>
      </c>
      <c r="E1595" t="s">
        <v>11</v>
      </c>
      <c r="F1595" t="s">
        <v>29</v>
      </c>
      <c r="G1595">
        <v>1252</v>
      </c>
      <c r="H1595">
        <v>4</v>
      </c>
      <c r="I1595">
        <v>3</v>
      </c>
      <c r="J1595" t="s">
        <v>13</v>
      </c>
      <c r="K1595" s="4">
        <f>Table1[[#This Row],[Sales]]*Table1[[#This Row],[Quantity]]</f>
        <v>5008</v>
      </c>
      <c r="L1595" s="4">
        <f>Table1[[#This Row],[Revenue]]-(Table1[[#This Row],[Revenue]]*Table1[[#This Row],[Discount]]/100)</f>
        <v>4857.76</v>
      </c>
    </row>
    <row r="1596" spans="1:12" x14ac:dyDescent="0.55000000000000004">
      <c r="A1596" t="s">
        <v>1625</v>
      </c>
      <c r="B1596" s="2">
        <v>44979</v>
      </c>
      <c r="C1596" t="s">
        <v>31</v>
      </c>
      <c r="D1596" t="s">
        <v>20</v>
      </c>
      <c r="E1596" t="s">
        <v>11</v>
      </c>
      <c r="F1596" t="s">
        <v>34</v>
      </c>
      <c r="G1596">
        <v>47220</v>
      </c>
      <c r="H1596">
        <v>4</v>
      </c>
      <c r="I1596">
        <v>20</v>
      </c>
      <c r="J1596" t="s">
        <v>25</v>
      </c>
      <c r="K1596" s="4">
        <f>Table1[[#This Row],[Sales]]*Table1[[#This Row],[Quantity]]</f>
        <v>188880</v>
      </c>
      <c r="L1596" s="4">
        <f>Table1[[#This Row],[Revenue]]-(Table1[[#This Row],[Revenue]]*Table1[[#This Row],[Discount]]/100)</f>
        <v>151104</v>
      </c>
    </row>
    <row r="1597" spans="1:12" x14ac:dyDescent="0.55000000000000004">
      <c r="A1597" t="s">
        <v>1626</v>
      </c>
      <c r="B1597" s="2">
        <v>45241</v>
      </c>
      <c r="C1597" t="s">
        <v>15</v>
      </c>
      <c r="D1597" t="s">
        <v>20</v>
      </c>
      <c r="E1597" t="s">
        <v>17</v>
      </c>
      <c r="F1597" t="s">
        <v>48</v>
      </c>
      <c r="G1597">
        <v>27157</v>
      </c>
      <c r="H1597">
        <v>8</v>
      </c>
      <c r="I1597">
        <v>7</v>
      </c>
      <c r="J1597" t="s">
        <v>25</v>
      </c>
      <c r="K1597" s="4">
        <f>Table1[[#This Row],[Sales]]*Table1[[#This Row],[Quantity]]</f>
        <v>217256</v>
      </c>
      <c r="L1597" s="4">
        <f>Table1[[#This Row],[Revenue]]-(Table1[[#This Row],[Revenue]]*Table1[[#This Row],[Discount]]/100)</f>
        <v>202048.08</v>
      </c>
    </row>
    <row r="1598" spans="1:12" x14ac:dyDescent="0.55000000000000004">
      <c r="A1598" t="s">
        <v>1627</v>
      </c>
      <c r="B1598" s="2">
        <v>45051</v>
      </c>
      <c r="C1598" t="s">
        <v>15</v>
      </c>
      <c r="D1598" t="s">
        <v>37</v>
      </c>
      <c r="E1598" t="s">
        <v>11</v>
      </c>
      <c r="F1598" t="s">
        <v>44</v>
      </c>
      <c r="G1598">
        <v>8382</v>
      </c>
      <c r="H1598">
        <v>1</v>
      </c>
      <c r="I1598">
        <v>16</v>
      </c>
      <c r="J1598" t="s">
        <v>22</v>
      </c>
      <c r="K1598" s="4">
        <f>Table1[[#This Row],[Sales]]*Table1[[#This Row],[Quantity]]</f>
        <v>8382</v>
      </c>
      <c r="L1598" s="4">
        <f>Table1[[#This Row],[Revenue]]-(Table1[[#This Row],[Revenue]]*Table1[[#This Row],[Discount]]/100)</f>
        <v>7040.88</v>
      </c>
    </row>
    <row r="1599" spans="1:12" x14ac:dyDescent="0.55000000000000004">
      <c r="A1599" t="s">
        <v>1628</v>
      </c>
      <c r="B1599" s="2">
        <v>45011</v>
      </c>
      <c r="C1599" t="s">
        <v>15</v>
      </c>
      <c r="D1599" t="s">
        <v>20</v>
      </c>
      <c r="E1599" t="s">
        <v>11</v>
      </c>
      <c r="F1599" t="s">
        <v>29</v>
      </c>
      <c r="G1599">
        <v>34573</v>
      </c>
      <c r="H1599">
        <v>8</v>
      </c>
      <c r="I1599">
        <v>7</v>
      </c>
      <c r="J1599" t="s">
        <v>13</v>
      </c>
      <c r="K1599" s="4">
        <f>Table1[[#This Row],[Sales]]*Table1[[#This Row],[Quantity]]</f>
        <v>276584</v>
      </c>
      <c r="L1599" s="4">
        <f>Table1[[#This Row],[Revenue]]-(Table1[[#This Row],[Revenue]]*Table1[[#This Row],[Discount]]/100)</f>
        <v>257223.12</v>
      </c>
    </row>
    <row r="1600" spans="1:12" x14ac:dyDescent="0.55000000000000004">
      <c r="A1600" t="s">
        <v>1629</v>
      </c>
      <c r="B1600" s="2">
        <v>45215</v>
      </c>
      <c r="C1600" t="s">
        <v>31</v>
      </c>
      <c r="D1600" t="s">
        <v>46</v>
      </c>
      <c r="E1600" t="s">
        <v>11</v>
      </c>
      <c r="F1600" t="s">
        <v>38</v>
      </c>
      <c r="G1600">
        <v>9086</v>
      </c>
      <c r="H1600">
        <v>5</v>
      </c>
      <c r="I1600">
        <v>23</v>
      </c>
      <c r="J1600" t="s">
        <v>25</v>
      </c>
      <c r="K1600" s="4">
        <f>Table1[[#This Row],[Sales]]*Table1[[#This Row],[Quantity]]</f>
        <v>45430</v>
      </c>
      <c r="L1600" s="4">
        <f>Table1[[#This Row],[Revenue]]-(Table1[[#This Row],[Revenue]]*Table1[[#This Row],[Discount]]/100)</f>
        <v>34981.1</v>
      </c>
    </row>
    <row r="1601" spans="1:12" x14ac:dyDescent="0.55000000000000004">
      <c r="A1601" t="s">
        <v>1630</v>
      </c>
      <c r="B1601" s="2">
        <v>45044</v>
      </c>
      <c r="C1601" t="s">
        <v>24</v>
      </c>
      <c r="D1601" t="s">
        <v>27</v>
      </c>
      <c r="E1601" t="s">
        <v>11</v>
      </c>
      <c r="F1601" t="s">
        <v>38</v>
      </c>
      <c r="G1601">
        <v>42642</v>
      </c>
      <c r="H1601">
        <v>4</v>
      </c>
      <c r="I1601">
        <v>19</v>
      </c>
      <c r="J1601" t="s">
        <v>25</v>
      </c>
      <c r="K1601" s="4">
        <f>Table1[[#This Row],[Sales]]*Table1[[#This Row],[Quantity]]</f>
        <v>170568</v>
      </c>
      <c r="L1601" s="4">
        <f>Table1[[#This Row],[Revenue]]-(Table1[[#This Row],[Revenue]]*Table1[[#This Row],[Discount]]/100)</f>
        <v>138160.08000000002</v>
      </c>
    </row>
    <row r="1602" spans="1:12" x14ac:dyDescent="0.55000000000000004">
      <c r="A1602" t="s">
        <v>1631</v>
      </c>
      <c r="B1602" s="2">
        <v>45159</v>
      </c>
      <c r="C1602" t="s">
        <v>24</v>
      </c>
      <c r="D1602" t="s">
        <v>37</v>
      </c>
      <c r="E1602" t="s">
        <v>11</v>
      </c>
      <c r="F1602" t="s">
        <v>44</v>
      </c>
      <c r="G1602">
        <v>17921</v>
      </c>
      <c r="H1602">
        <v>4</v>
      </c>
      <c r="I1602">
        <v>6</v>
      </c>
      <c r="J1602" t="s">
        <v>13</v>
      </c>
      <c r="K1602" s="4">
        <f>Table1[[#This Row],[Sales]]*Table1[[#This Row],[Quantity]]</f>
        <v>71684</v>
      </c>
      <c r="L1602" s="4">
        <f>Table1[[#This Row],[Revenue]]-(Table1[[#This Row],[Revenue]]*Table1[[#This Row],[Discount]]/100)</f>
        <v>67382.960000000006</v>
      </c>
    </row>
    <row r="1603" spans="1:12" x14ac:dyDescent="0.55000000000000004">
      <c r="A1603" t="s">
        <v>1632</v>
      </c>
      <c r="B1603" s="2">
        <v>45238</v>
      </c>
      <c r="C1603" t="s">
        <v>15</v>
      </c>
      <c r="D1603" t="s">
        <v>46</v>
      </c>
      <c r="E1603" t="s">
        <v>17</v>
      </c>
      <c r="F1603" t="s">
        <v>21</v>
      </c>
      <c r="G1603">
        <v>4906</v>
      </c>
      <c r="H1603">
        <v>3</v>
      </c>
      <c r="I1603">
        <v>24</v>
      </c>
      <c r="J1603" t="s">
        <v>22</v>
      </c>
      <c r="K1603" s="4">
        <f>Table1[[#This Row],[Sales]]*Table1[[#This Row],[Quantity]]</f>
        <v>14718</v>
      </c>
      <c r="L1603" s="4">
        <f>Table1[[#This Row],[Revenue]]-(Table1[[#This Row],[Revenue]]*Table1[[#This Row],[Discount]]/100)</f>
        <v>11185.68</v>
      </c>
    </row>
    <row r="1604" spans="1:12" x14ac:dyDescent="0.55000000000000004">
      <c r="A1604" t="s">
        <v>1633</v>
      </c>
      <c r="B1604" s="2">
        <v>45186</v>
      </c>
      <c r="C1604" t="s">
        <v>24</v>
      </c>
      <c r="D1604" t="s">
        <v>20</v>
      </c>
      <c r="E1604" t="s">
        <v>17</v>
      </c>
      <c r="F1604" t="s">
        <v>21</v>
      </c>
      <c r="G1604">
        <v>30734</v>
      </c>
      <c r="H1604">
        <v>3</v>
      </c>
      <c r="I1604">
        <v>17</v>
      </c>
      <c r="J1604" t="s">
        <v>22</v>
      </c>
      <c r="K1604" s="4">
        <f>Table1[[#This Row],[Sales]]*Table1[[#This Row],[Quantity]]</f>
        <v>92202</v>
      </c>
      <c r="L1604" s="4">
        <f>Table1[[#This Row],[Revenue]]-(Table1[[#This Row],[Revenue]]*Table1[[#This Row],[Discount]]/100)</f>
        <v>76527.66</v>
      </c>
    </row>
    <row r="1605" spans="1:12" x14ac:dyDescent="0.55000000000000004">
      <c r="A1605" t="s">
        <v>1634</v>
      </c>
      <c r="B1605" s="2">
        <v>45176</v>
      </c>
      <c r="C1605" t="s">
        <v>24</v>
      </c>
      <c r="D1605" t="s">
        <v>46</v>
      </c>
      <c r="E1605" t="s">
        <v>11</v>
      </c>
      <c r="F1605" t="s">
        <v>29</v>
      </c>
      <c r="G1605">
        <v>21352</v>
      </c>
      <c r="H1605">
        <v>9</v>
      </c>
      <c r="I1605">
        <v>1</v>
      </c>
      <c r="J1605" t="s">
        <v>25</v>
      </c>
      <c r="K1605" s="4">
        <f>Table1[[#This Row],[Sales]]*Table1[[#This Row],[Quantity]]</f>
        <v>192168</v>
      </c>
      <c r="L1605" s="4">
        <f>Table1[[#This Row],[Revenue]]-(Table1[[#This Row],[Revenue]]*Table1[[#This Row],[Discount]]/100)</f>
        <v>190246.32</v>
      </c>
    </row>
    <row r="1606" spans="1:12" x14ac:dyDescent="0.55000000000000004">
      <c r="A1606" t="s">
        <v>1635</v>
      </c>
      <c r="B1606" s="2">
        <v>44950</v>
      </c>
      <c r="C1606" t="s">
        <v>24</v>
      </c>
      <c r="D1606" t="s">
        <v>20</v>
      </c>
      <c r="E1606" t="s">
        <v>11</v>
      </c>
      <c r="F1606" t="s">
        <v>34</v>
      </c>
      <c r="G1606">
        <v>2964</v>
      </c>
      <c r="H1606">
        <v>6</v>
      </c>
      <c r="I1606">
        <v>22</v>
      </c>
      <c r="J1606" t="s">
        <v>13</v>
      </c>
      <c r="K1606" s="4">
        <f>Table1[[#This Row],[Sales]]*Table1[[#This Row],[Quantity]]</f>
        <v>17784</v>
      </c>
      <c r="L1606" s="4">
        <f>Table1[[#This Row],[Revenue]]-(Table1[[#This Row],[Revenue]]*Table1[[#This Row],[Discount]]/100)</f>
        <v>13871.52</v>
      </c>
    </row>
    <row r="1607" spans="1:12" x14ac:dyDescent="0.55000000000000004">
      <c r="A1607" t="s">
        <v>1636</v>
      </c>
      <c r="B1607" s="2">
        <v>45143</v>
      </c>
      <c r="C1607" t="s">
        <v>15</v>
      </c>
      <c r="D1607" t="s">
        <v>46</v>
      </c>
      <c r="E1607" t="s">
        <v>11</v>
      </c>
      <c r="F1607" t="s">
        <v>48</v>
      </c>
      <c r="G1607">
        <v>22654</v>
      </c>
      <c r="H1607">
        <v>5</v>
      </c>
      <c r="I1607">
        <v>3</v>
      </c>
      <c r="J1607" t="s">
        <v>22</v>
      </c>
      <c r="K1607" s="4">
        <f>Table1[[#This Row],[Sales]]*Table1[[#This Row],[Quantity]]</f>
        <v>113270</v>
      </c>
      <c r="L1607" s="4">
        <f>Table1[[#This Row],[Revenue]]-(Table1[[#This Row],[Revenue]]*Table1[[#This Row],[Discount]]/100)</f>
        <v>109871.9</v>
      </c>
    </row>
    <row r="1608" spans="1:12" x14ac:dyDescent="0.55000000000000004">
      <c r="A1608" t="s">
        <v>1637</v>
      </c>
      <c r="B1608" s="2">
        <v>45223</v>
      </c>
      <c r="C1608" t="s">
        <v>31</v>
      </c>
      <c r="D1608" t="s">
        <v>20</v>
      </c>
      <c r="E1608" t="s">
        <v>17</v>
      </c>
      <c r="F1608" t="s">
        <v>38</v>
      </c>
      <c r="G1608">
        <v>18014</v>
      </c>
      <c r="H1608">
        <v>2</v>
      </c>
      <c r="I1608">
        <v>15</v>
      </c>
      <c r="J1608" t="s">
        <v>25</v>
      </c>
      <c r="K1608" s="4">
        <f>Table1[[#This Row],[Sales]]*Table1[[#This Row],[Quantity]]</f>
        <v>36028</v>
      </c>
      <c r="L1608" s="4">
        <f>Table1[[#This Row],[Revenue]]-(Table1[[#This Row],[Revenue]]*Table1[[#This Row],[Discount]]/100)</f>
        <v>30623.8</v>
      </c>
    </row>
    <row r="1609" spans="1:12" x14ac:dyDescent="0.55000000000000004">
      <c r="A1609" t="s">
        <v>1638</v>
      </c>
      <c r="B1609" s="2">
        <v>45195</v>
      </c>
      <c r="C1609" t="s">
        <v>31</v>
      </c>
      <c r="D1609" t="s">
        <v>46</v>
      </c>
      <c r="E1609" t="s">
        <v>17</v>
      </c>
      <c r="F1609" t="s">
        <v>12</v>
      </c>
      <c r="G1609">
        <v>7371</v>
      </c>
      <c r="H1609">
        <v>6</v>
      </c>
      <c r="I1609">
        <v>9</v>
      </c>
      <c r="J1609" t="s">
        <v>13</v>
      </c>
      <c r="K1609" s="4">
        <f>Table1[[#This Row],[Sales]]*Table1[[#This Row],[Quantity]]</f>
        <v>44226</v>
      </c>
      <c r="L1609" s="4">
        <f>Table1[[#This Row],[Revenue]]-(Table1[[#This Row],[Revenue]]*Table1[[#This Row],[Discount]]/100)</f>
        <v>40245.660000000003</v>
      </c>
    </row>
    <row r="1610" spans="1:12" x14ac:dyDescent="0.55000000000000004">
      <c r="A1610" t="s">
        <v>1639</v>
      </c>
      <c r="B1610" s="2">
        <v>45218</v>
      </c>
      <c r="C1610" t="s">
        <v>15</v>
      </c>
      <c r="D1610" t="s">
        <v>27</v>
      </c>
      <c r="E1610" t="s">
        <v>11</v>
      </c>
      <c r="F1610" t="s">
        <v>48</v>
      </c>
      <c r="G1610">
        <v>32446</v>
      </c>
      <c r="H1610">
        <v>3</v>
      </c>
      <c r="I1610">
        <v>26</v>
      </c>
      <c r="J1610" t="s">
        <v>25</v>
      </c>
      <c r="K1610" s="4">
        <f>Table1[[#This Row],[Sales]]*Table1[[#This Row],[Quantity]]</f>
        <v>97338</v>
      </c>
      <c r="L1610" s="4">
        <f>Table1[[#This Row],[Revenue]]-(Table1[[#This Row],[Revenue]]*Table1[[#This Row],[Discount]]/100)</f>
        <v>72030.12</v>
      </c>
    </row>
    <row r="1611" spans="1:12" x14ac:dyDescent="0.55000000000000004">
      <c r="A1611" t="s">
        <v>1640</v>
      </c>
      <c r="B1611" s="2">
        <v>45160</v>
      </c>
      <c r="C1611" t="s">
        <v>19</v>
      </c>
      <c r="D1611" t="s">
        <v>16</v>
      </c>
      <c r="E1611" t="s">
        <v>11</v>
      </c>
      <c r="F1611" t="s">
        <v>34</v>
      </c>
      <c r="G1611">
        <v>42642</v>
      </c>
      <c r="H1611">
        <v>5</v>
      </c>
      <c r="I1611">
        <v>8</v>
      </c>
      <c r="J1611" t="s">
        <v>25</v>
      </c>
      <c r="K1611" s="4">
        <f>Table1[[#This Row],[Sales]]*Table1[[#This Row],[Quantity]]</f>
        <v>213210</v>
      </c>
      <c r="L1611" s="4">
        <f>Table1[[#This Row],[Revenue]]-(Table1[[#This Row],[Revenue]]*Table1[[#This Row],[Discount]]/100)</f>
        <v>196153.2</v>
      </c>
    </row>
    <row r="1612" spans="1:12" x14ac:dyDescent="0.55000000000000004">
      <c r="A1612" t="s">
        <v>1641</v>
      </c>
      <c r="B1612" s="2">
        <v>44977</v>
      </c>
      <c r="C1612" t="s">
        <v>31</v>
      </c>
      <c r="D1612" t="s">
        <v>27</v>
      </c>
      <c r="E1612" t="s">
        <v>17</v>
      </c>
      <c r="F1612" t="s">
        <v>48</v>
      </c>
      <c r="G1612">
        <v>44662</v>
      </c>
      <c r="H1612">
        <v>3</v>
      </c>
      <c r="I1612">
        <v>6</v>
      </c>
      <c r="J1612" t="s">
        <v>13</v>
      </c>
      <c r="K1612" s="4">
        <f>Table1[[#This Row],[Sales]]*Table1[[#This Row],[Quantity]]</f>
        <v>133986</v>
      </c>
      <c r="L1612" s="4">
        <f>Table1[[#This Row],[Revenue]]-(Table1[[#This Row],[Revenue]]*Table1[[#This Row],[Discount]]/100)</f>
        <v>125946.84</v>
      </c>
    </row>
    <row r="1613" spans="1:12" x14ac:dyDescent="0.55000000000000004">
      <c r="A1613" t="s">
        <v>1642</v>
      </c>
      <c r="B1613" s="2">
        <v>44966</v>
      </c>
      <c r="C1613" t="s">
        <v>24</v>
      </c>
      <c r="D1613" t="s">
        <v>16</v>
      </c>
      <c r="E1613" t="s">
        <v>11</v>
      </c>
      <c r="F1613" t="s">
        <v>38</v>
      </c>
      <c r="G1613">
        <v>22109</v>
      </c>
      <c r="H1613">
        <v>4</v>
      </c>
      <c r="I1613">
        <v>1</v>
      </c>
      <c r="J1613" t="s">
        <v>22</v>
      </c>
      <c r="K1613" s="4">
        <f>Table1[[#This Row],[Sales]]*Table1[[#This Row],[Quantity]]</f>
        <v>88436</v>
      </c>
      <c r="L1613" s="4">
        <f>Table1[[#This Row],[Revenue]]-(Table1[[#This Row],[Revenue]]*Table1[[#This Row],[Discount]]/100)</f>
        <v>87551.64</v>
      </c>
    </row>
    <row r="1614" spans="1:12" x14ac:dyDescent="0.55000000000000004">
      <c r="A1614" t="s">
        <v>1643</v>
      </c>
      <c r="B1614" s="2">
        <v>45003</v>
      </c>
      <c r="C1614" t="s">
        <v>15</v>
      </c>
      <c r="D1614" t="s">
        <v>27</v>
      </c>
      <c r="E1614" t="s">
        <v>17</v>
      </c>
      <c r="F1614" t="s">
        <v>21</v>
      </c>
      <c r="G1614">
        <v>42475</v>
      </c>
      <c r="H1614">
        <v>2</v>
      </c>
      <c r="I1614">
        <v>18</v>
      </c>
      <c r="J1614" t="s">
        <v>13</v>
      </c>
      <c r="K1614" s="4">
        <f>Table1[[#This Row],[Sales]]*Table1[[#This Row],[Quantity]]</f>
        <v>84950</v>
      </c>
      <c r="L1614" s="4">
        <f>Table1[[#This Row],[Revenue]]-(Table1[[#This Row],[Revenue]]*Table1[[#This Row],[Discount]]/100)</f>
        <v>69659</v>
      </c>
    </row>
    <row r="1615" spans="1:12" x14ac:dyDescent="0.55000000000000004">
      <c r="A1615" t="s">
        <v>1644</v>
      </c>
      <c r="B1615" s="2">
        <v>44945</v>
      </c>
      <c r="C1615" t="s">
        <v>15</v>
      </c>
      <c r="D1615" t="s">
        <v>20</v>
      </c>
      <c r="E1615" t="s">
        <v>11</v>
      </c>
      <c r="F1615" t="s">
        <v>21</v>
      </c>
      <c r="G1615">
        <v>17818</v>
      </c>
      <c r="H1615">
        <v>7</v>
      </c>
      <c r="I1615">
        <v>26</v>
      </c>
      <c r="J1615" t="s">
        <v>22</v>
      </c>
      <c r="K1615" s="4">
        <f>Table1[[#This Row],[Sales]]*Table1[[#This Row],[Quantity]]</f>
        <v>124726</v>
      </c>
      <c r="L1615" s="4">
        <f>Table1[[#This Row],[Revenue]]-(Table1[[#This Row],[Revenue]]*Table1[[#This Row],[Discount]]/100)</f>
        <v>92297.24</v>
      </c>
    </row>
    <row r="1616" spans="1:12" x14ac:dyDescent="0.55000000000000004">
      <c r="A1616" t="s">
        <v>1645</v>
      </c>
      <c r="B1616" s="2">
        <v>45292</v>
      </c>
      <c r="C1616" t="s">
        <v>15</v>
      </c>
      <c r="D1616" t="s">
        <v>37</v>
      </c>
      <c r="E1616" t="s">
        <v>11</v>
      </c>
      <c r="F1616" t="s">
        <v>44</v>
      </c>
      <c r="G1616">
        <v>40336</v>
      </c>
      <c r="H1616">
        <v>5</v>
      </c>
      <c r="I1616">
        <v>13</v>
      </c>
      <c r="J1616" t="s">
        <v>25</v>
      </c>
      <c r="K1616" s="4">
        <f>Table1[[#This Row],[Sales]]*Table1[[#This Row],[Quantity]]</f>
        <v>201680</v>
      </c>
      <c r="L1616" s="4">
        <f>Table1[[#This Row],[Revenue]]-(Table1[[#This Row],[Revenue]]*Table1[[#This Row],[Discount]]/100)</f>
        <v>175461.6</v>
      </c>
    </row>
    <row r="1617" spans="1:12" x14ac:dyDescent="0.55000000000000004">
      <c r="A1617" t="s">
        <v>1646</v>
      </c>
      <c r="B1617" s="2">
        <v>45139</v>
      </c>
      <c r="C1617" t="s">
        <v>31</v>
      </c>
      <c r="D1617" t="s">
        <v>20</v>
      </c>
      <c r="E1617" t="s">
        <v>11</v>
      </c>
      <c r="F1617" t="s">
        <v>44</v>
      </c>
      <c r="G1617">
        <v>41238</v>
      </c>
      <c r="H1617">
        <v>8</v>
      </c>
      <c r="I1617">
        <v>30</v>
      </c>
      <c r="J1617" t="s">
        <v>22</v>
      </c>
      <c r="K1617" s="4">
        <f>Table1[[#This Row],[Sales]]*Table1[[#This Row],[Quantity]]</f>
        <v>329904</v>
      </c>
      <c r="L1617" s="4">
        <f>Table1[[#This Row],[Revenue]]-(Table1[[#This Row],[Revenue]]*Table1[[#This Row],[Discount]]/100)</f>
        <v>230932.8</v>
      </c>
    </row>
    <row r="1618" spans="1:12" x14ac:dyDescent="0.55000000000000004">
      <c r="A1618" t="s">
        <v>1647</v>
      </c>
      <c r="B1618" s="2">
        <v>45123</v>
      </c>
      <c r="C1618" t="s">
        <v>15</v>
      </c>
      <c r="D1618" t="s">
        <v>46</v>
      </c>
      <c r="E1618" t="s">
        <v>11</v>
      </c>
      <c r="F1618" t="s">
        <v>38</v>
      </c>
      <c r="G1618">
        <v>35588</v>
      </c>
      <c r="H1618">
        <v>1</v>
      </c>
      <c r="I1618">
        <v>17</v>
      </c>
      <c r="J1618" t="s">
        <v>13</v>
      </c>
      <c r="K1618" s="4">
        <f>Table1[[#This Row],[Sales]]*Table1[[#This Row],[Quantity]]</f>
        <v>35588</v>
      </c>
      <c r="L1618" s="4">
        <f>Table1[[#This Row],[Revenue]]-(Table1[[#This Row],[Revenue]]*Table1[[#This Row],[Discount]]/100)</f>
        <v>29538.04</v>
      </c>
    </row>
    <row r="1619" spans="1:12" x14ac:dyDescent="0.55000000000000004">
      <c r="A1619" t="s">
        <v>1648</v>
      </c>
      <c r="B1619" s="2">
        <v>45175</v>
      </c>
      <c r="C1619" t="s">
        <v>31</v>
      </c>
      <c r="D1619" t="s">
        <v>37</v>
      </c>
      <c r="E1619" t="s">
        <v>17</v>
      </c>
      <c r="F1619" t="s">
        <v>12</v>
      </c>
      <c r="G1619">
        <v>37825</v>
      </c>
      <c r="H1619">
        <v>3</v>
      </c>
      <c r="I1619">
        <v>15</v>
      </c>
      <c r="J1619" t="s">
        <v>22</v>
      </c>
      <c r="K1619" s="4">
        <f>Table1[[#This Row],[Sales]]*Table1[[#This Row],[Quantity]]</f>
        <v>113475</v>
      </c>
      <c r="L1619" s="4">
        <f>Table1[[#This Row],[Revenue]]-(Table1[[#This Row],[Revenue]]*Table1[[#This Row],[Discount]]/100)</f>
        <v>96453.75</v>
      </c>
    </row>
    <row r="1620" spans="1:12" x14ac:dyDescent="0.55000000000000004">
      <c r="A1620" t="s">
        <v>1649</v>
      </c>
      <c r="B1620" s="2">
        <v>45041</v>
      </c>
      <c r="C1620" t="s">
        <v>24</v>
      </c>
      <c r="D1620" t="s">
        <v>37</v>
      </c>
      <c r="E1620" t="s">
        <v>17</v>
      </c>
      <c r="F1620" t="s">
        <v>34</v>
      </c>
      <c r="G1620">
        <v>8717</v>
      </c>
      <c r="H1620">
        <v>7</v>
      </c>
      <c r="I1620">
        <v>12</v>
      </c>
      <c r="J1620" t="s">
        <v>25</v>
      </c>
      <c r="K1620" s="4">
        <f>Table1[[#This Row],[Sales]]*Table1[[#This Row],[Quantity]]</f>
        <v>61019</v>
      </c>
      <c r="L1620" s="4">
        <f>Table1[[#This Row],[Revenue]]-(Table1[[#This Row],[Revenue]]*Table1[[#This Row],[Discount]]/100)</f>
        <v>53696.72</v>
      </c>
    </row>
    <row r="1621" spans="1:12" x14ac:dyDescent="0.55000000000000004">
      <c r="A1621" t="s">
        <v>1650</v>
      </c>
      <c r="B1621" s="2">
        <v>45087</v>
      </c>
      <c r="C1621" t="s">
        <v>15</v>
      </c>
      <c r="D1621" t="s">
        <v>20</v>
      </c>
      <c r="E1621" t="s">
        <v>17</v>
      </c>
      <c r="F1621" t="s">
        <v>12</v>
      </c>
      <c r="G1621">
        <v>23480</v>
      </c>
      <c r="H1621">
        <v>8</v>
      </c>
      <c r="I1621">
        <v>15</v>
      </c>
      <c r="J1621" t="s">
        <v>25</v>
      </c>
      <c r="K1621" s="4">
        <f>Table1[[#This Row],[Sales]]*Table1[[#This Row],[Quantity]]</f>
        <v>187840</v>
      </c>
      <c r="L1621" s="4">
        <f>Table1[[#This Row],[Revenue]]-(Table1[[#This Row],[Revenue]]*Table1[[#This Row],[Discount]]/100)</f>
        <v>159664</v>
      </c>
    </row>
    <row r="1622" spans="1:12" x14ac:dyDescent="0.55000000000000004">
      <c r="A1622" t="s">
        <v>1651</v>
      </c>
      <c r="B1622" s="2">
        <v>45134</v>
      </c>
      <c r="C1622" t="s">
        <v>31</v>
      </c>
      <c r="D1622" t="s">
        <v>16</v>
      </c>
      <c r="E1622" t="s">
        <v>17</v>
      </c>
      <c r="F1622" t="s">
        <v>38</v>
      </c>
      <c r="G1622">
        <v>15407</v>
      </c>
      <c r="H1622">
        <v>7</v>
      </c>
      <c r="I1622">
        <v>25</v>
      </c>
      <c r="J1622" t="s">
        <v>13</v>
      </c>
      <c r="K1622" s="4">
        <f>Table1[[#This Row],[Sales]]*Table1[[#This Row],[Quantity]]</f>
        <v>107849</v>
      </c>
      <c r="L1622" s="4">
        <f>Table1[[#This Row],[Revenue]]-(Table1[[#This Row],[Revenue]]*Table1[[#This Row],[Discount]]/100)</f>
        <v>80886.75</v>
      </c>
    </row>
    <row r="1623" spans="1:12" x14ac:dyDescent="0.55000000000000004">
      <c r="A1623" t="s">
        <v>1652</v>
      </c>
      <c r="B1623" s="2">
        <v>45209</v>
      </c>
      <c r="C1623" t="s">
        <v>24</v>
      </c>
      <c r="D1623" t="s">
        <v>46</v>
      </c>
      <c r="E1623" t="s">
        <v>17</v>
      </c>
      <c r="F1623" t="s">
        <v>44</v>
      </c>
      <c r="G1623">
        <v>43169</v>
      </c>
      <c r="H1623">
        <v>5</v>
      </c>
      <c r="I1623">
        <v>27</v>
      </c>
      <c r="J1623" t="s">
        <v>22</v>
      </c>
      <c r="K1623" s="4">
        <f>Table1[[#This Row],[Sales]]*Table1[[#This Row],[Quantity]]</f>
        <v>215845</v>
      </c>
      <c r="L1623" s="4">
        <f>Table1[[#This Row],[Revenue]]-(Table1[[#This Row],[Revenue]]*Table1[[#This Row],[Discount]]/100)</f>
        <v>157566.85</v>
      </c>
    </row>
    <row r="1624" spans="1:12" x14ac:dyDescent="0.55000000000000004">
      <c r="A1624" t="s">
        <v>1653</v>
      </c>
      <c r="B1624" s="2">
        <v>45269</v>
      </c>
      <c r="C1624" t="s">
        <v>24</v>
      </c>
      <c r="D1624" t="s">
        <v>46</v>
      </c>
      <c r="E1624" t="s">
        <v>11</v>
      </c>
      <c r="F1624" t="s">
        <v>44</v>
      </c>
      <c r="G1624">
        <v>30044</v>
      </c>
      <c r="H1624">
        <v>8</v>
      </c>
      <c r="I1624">
        <v>13</v>
      </c>
      <c r="J1624" t="s">
        <v>22</v>
      </c>
      <c r="K1624" s="4">
        <f>Table1[[#This Row],[Sales]]*Table1[[#This Row],[Quantity]]</f>
        <v>240352</v>
      </c>
      <c r="L1624" s="4">
        <f>Table1[[#This Row],[Revenue]]-(Table1[[#This Row],[Revenue]]*Table1[[#This Row],[Discount]]/100)</f>
        <v>209106.24</v>
      </c>
    </row>
    <row r="1625" spans="1:12" x14ac:dyDescent="0.55000000000000004">
      <c r="A1625" t="s">
        <v>1654</v>
      </c>
      <c r="B1625" s="2">
        <v>44993</v>
      </c>
      <c r="C1625" t="s">
        <v>24</v>
      </c>
      <c r="D1625" t="s">
        <v>46</v>
      </c>
      <c r="E1625" t="s">
        <v>17</v>
      </c>
      <c r="F1625" t="s">
        <v>21</v>
      </c>
      <c r="G1625">
        <v>27257</v>
      </c>
      <c r="H1625">
        <v>2</v>
      </c>
      <c r="I1625">
        <v>21</v>
      </c>
      <c r="J1625" t="s">
        <v>13</v>
      </c>
      <c r="K1625" s="4">
        <f>Table1[[#This Row],[Sales]]*Table1[[#This Row],[Quantity]]</f>
        <v>54514</v>
      </c>
      <c r="L1625" s="4">
        <f>Table1[[#This Row],[Revenue]]-(Table1[[#This Row],[Revenue]]*Table1[[#This Row],[Discount]]/100)</f>
        <v>43066.06</v>
      </c>
    </row>
    <row r="1626" spans="1:12" x14ac:dyDescent="0.55000000000000004">
      <c r="A1626" t="s">
        <v>1655</v>
      </c>
      <c r="B1626" s="2">
        <v>45127</v>
      </c>
      <c r="C1626" t="s">
        <v>31</v>
      </c>
      <c r="D1626" t="s">
        <v>20</v>
      </c>
      <c r="E1626" t="s">
        <v>11</v>
      </c>
      <c r="F1626" t="s">
        <v>21</v>
      </c>
      <c r="G1626">
        <v>43560</v>
      </c>
      <c r="H1626">
        <v>8</v>
      </c>
      <c r="I1626">
        <v>5</v>
      </c>
      <c r="J1626" t="s">
        <v>13</v>
      </c>
      <c r="K1626" s="4">
        <f>Table1[[#This Row],[Sales]]*Table1[[#This Row],[Quantity]]</f>
        <v>348480</v>
      </c>
      <c r="L1626" s="4">
        <f>Table1[[#This Row],[Revenue]]-(Table1[[#This Row],[Revenue]]*Table1[[#This Row],[Discount]]/100)</f>
        <v>331056</v>
      </c>
    </row>
    <row r="1627" spans="1:12" x14ac:dyDescent="0.55000000000000004">
      <c r="A1627" t="s">
        <v>1656</v>
      </c>
      <c r="B1627" s="2">
        <v>45069</v>
      </c>
      <c r="C1627" t="s">
        <v>15</v>
      </c>
      <c r="D1627" t="s">
        <v>20</v>
      </c>
      <c r="E1627" t="s">
        <v>17</v>
      </c>
      <c r="F1627" t="s">
        <v>12</v>
      </c>
      <c r="G1627">
        <v>40291</v>
      </c>
      <c r="H1627">
        <v>4</v>
      </c>
      <c r="I1627">
        <v>1</v>
      </c>
      <c r="J1627" t="s">
        <v>25</v>
      </c>
      <c r="K1627" s="4">
        <f>Table1[[#This Row],[Sales]]*Table1[[#This Row],[Quantity]]</f>
        <v>161164</v>
      </c>
      <c r="L1627" s="4">
        <f>Table1[[#This Row],[Revenue]]-(Table1[[#This Row],[Revenue]]*Table1[[#This Row],[Discount]]/100)</f>
        <v>159552.35999999999</v>
      </c>
    </row>
    <row r="1628" spans="1:12" x14ac:dyDescent="0.55000000000000004">
      <c r="A1628" t="s">
        <v>1657</v>
      </c>
      <c r="B1628" s="2">
        <v>45225</v>
      </c>
      <c r="C1628" t="s">
        <v>15</v>
      </c>
      <c r="D1628" t="s">
        <v>16</v>
      </c>
      <c r="E1628" t="s">
        <v>11</v>
      </c>
      <c r="F1628" t="s">
        <v>38</v>
      </c>
      <c r="G1628">
        <v>45413</v>
      </c>
      <c r="H1628">
        <v>10</v>
      </c>
      <c r="I1628">
        <v>10</v>
      </c>
      <c r="J1628" t="s">
        <v>22</v>
      </c>
      <c r="K1628" s="4">
        <f>Table1[[#This Row],[Sales]]*Table1[[#This Row],[Quantity]]</f>
        <v>454130</v>
      </c>
      <c r="L1628" s="4">
        <f>Table1[[#This Row],[Revenue]]-(Table1[[#This Row],[Revenue]]*Table1[[#This Row],[Discount]]/100)</f>
        <v>408717</v>
      </c>
    </row>
    <row r="1629" spans="1:12" x14ac:dyDescent="0.55000000000000004">
      <c r="A1629" t="s">
        <v>1658</v>
      </c>
      <c r="B1629" s="2">
        <v>45139</v>
      </c>
      <c r="C1629" t="s">
        <v>31</v>
      </c>
      <c r="D1629" t="s">
        <v>16</v>
      </c>
      <c r="E1629" t="s">
        <v>17</v>
      </c>
      <c r="F1629" t="s">
        <v>48</v>
      </c>
      <c r="G1629">
        <v>36629</v>
      </c>
      <c r="H1629">
        <v>3</v>
      </c>
      <c r="I1629">
        <v>24</v>
      </c>
      <c r="J1629" t="s">
        <v>25</v>
      </c>
      <c r="K1629" s="4">
        <f>Table1[[#This Row],[Sales]]*Table1[[#This Row],[Quantity]]</f>
        <v>109887</v>
      </c>
      <c r="L1629" s="4">
        <f>Table1[[#This Row],[Revenue]]-(Table1[[#This Row],[Revenue]]*Table1[[#This Row],[Discount]]/100)</f>
        <v>83514.12</v>
      </c>
    </row>
    <row r="1630" spans="1:12" x14ac:dyDescent="0.55000000000000004">
      <c r="A1630" t="s">
        <v>1659</v>
      </c>
      <c r="B1630" s="2">
        <v>45181</v>
      </c>
      <c r="C1630" t="s">
        <v>19</v>
      </c>
      <c r="D1630" t="s">
        <v>27</v>
      </c>
      <c r="E1630" t="s">
        <v>17</v>
      </c>
      <c r="F1630" t="s">
        <v>38</v>
      </c>
      <c r="G1630">
        <v>25638</v>
      </c>
      <c r="H1630">
        <v>4</v>
      </c>
      <c r="I1630">
        <v>18</v>
      </c>
      <c r="J1630" t="s">
        <v>25</v>
      </c>
      <c r="K1630" s="4">
        <f>Table1[[#This Row],[Sales]]*Table1[[#This Row],[Quantity]]</f>
        <v>102552</v>
      </c>
      <c r="L1630" s="4">
        <f>Table1[[#This Row],[Revenue]]-(Table1[[#This Row],[Revenue]]*Table1[[#This Row],[Discount]]/100)</f>
        <v>84092.64</v>
      </c>
    </row>
    <row r="1631" spans="1:12" x14ac:dyDescent="0.55000000000000004">
      <c r="A1631" t="s">
        <v>1660</v>
      </c>
      <c r="B1631" s="2">
        <v>45186</v>
      </c>
      <c r="C1631" t="s">
        <v>19</v>
      </c>
      <c r="D1631" t="s">
        <v>46</v>
      </c>
      <c r="E1631" t="s">
        <v>11</v>
      </c>
      <c r="F1631" t="s">
        <v>21</v>
      </c>
      <c r="G1631">
        <v>31007</v>
      </c>
      <c r="H1631">
        <v>10</v>
      </c>
      <c r="I1631">
        <v>3</v>
      </c>
      <c r="J1631" t="s">
        <v>25</v>
      </c>
      <c r="K1631" s="4">
        <f>Table1[[#This Row],[Sales]]*Table1[[#This Row],[Quantity]]</f>
        <v>310070</v>
      </c>
      <c r="L1631" s="4">
        <f>Table1[[#This Row],[Revenue]]-(Table1[[#This Row],[Revenue]]*Table1[[#This Row],[Discount]]/100)</f>
        <v>300767.90000000002</v>
      </c>
    </row>
    <row r="1632" spans="1:12" x14ac:dyDescent="0.55000000000000004">
      <c r="A1632" t="s">
        <v>1661</v>
      </c>
      <c r="B1632" s="2">
        <v>44996</v>
      </c>
      <c r="C1632" t="s">
        <v>31</v>
      </c>
      <c r="D1632" t="s">
        <v>37</v>
      </c>
      <c r="E1632" t="s">
        <v>11</v>
      </c>
      <c r="F1632" t="s">
        <v>34</v>
      </c>
      <c r="G1632">
        <v>35659</v>
      </c>
      <c r="H1632">
        <v>3</v>
      </c>
      <c r="I1632">
        <v>10</v>
      </c>
      <c r="J1632" t="s">
        <v>25</v>
      </c>
      <c r="K1632" s="4">
        <f>Table1[[#This Row],[Sales]]*Table1[[#This Row],[Quantity]]</f>
        <v>106977</v>
      </c>
      <c r="L1632" s="4">
        <f>Table1[[#This Row],[Revenue]]-(Table1[[#This Row],[Revenue]]*Table1[[#This Row],[Discount]]/100)</f>
        <v>96279.3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Dashboard</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adarsh M G</cp:lastModifiedBy>
  <dcterms:created xsi:type="dcterms:W3CDTF">2026-04-26T03:02:07Z</dcterms:created>
  <dcterms:modified xsi:type="dcterms:W3CDTF">2026-04-27T15:40:27Z</dcterms:modified>
</cp:coreProperties>
</file>